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lea\Downloads\"/>
    </mc:Choice>
  </mc:AlternateContent>
  <bookViews>
    <workbookView xWindow="0" yWindow="0" windowWidth="23040" windowHeight="9072" activeTab="2"/>
  </bookViews>
  <sheets>
    <sheet name="Clientes" sheetId="1" r:id="rId1"/>
    <sheet name="Productos" sheetId="2" r:id="rId2"/>
    <sheet name="Ventas" sheetId="3" r:id="rId3"/>
    <sheet name="Reportes" sheetId="4" r:id="rId4"/>
    <sheet name="Consultas_Bot" sheetId="5" r:id="rId5"/>
  </sheets>
  <definedNames>
    <definedName name="_xlnm._FilterDatabase" localSheetId="2" hidden="1">Ventas!$A$1:$Z$542</definedName>
  </definedNames>
  <calcPr calcId="162913"/>
</workbook>
</file>

<file path=xl/calcChain.xml><?xml version="1.0" encoding="utf-8"?>
<calcChain xmlns="http://schemas.openxmlformats.org/spreadsheetml/2006/main">
  <c r="B4" i="4" l="1"/>
  <c r="B3" i="4"/>
  <c r="B2" i="4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<sst xmlns="http://schemas.openxmlformats.org/spreadsheetml/2006/main" count="2692" uniqueCount="972">
  <si>
    <t>cliente_id</t>
  </si>
  <si>
    <t>nombre</t>
  </si>
  <si>
    <t>empresa</t>
  </si>
  <si>
    <t>telefono</t>
  </si>
  <si>
    <t>ciudad</t>
  </si>
  <si>
    <t>tipo_cliente</t>
  </si>
  <si>
    <t>Juan Pérez</t>
  </si>
  <si>
    <t>Comercial Andina</t>
  </si>
  <si>
    <t>+593991112233</t>
  </si>
  <si>
    <t>Quito</t>
  </si>
  <si>
    <t>Retail</t>
  </si>
  <si>
    <t>María López</t>
  </si>
  <si>
    <t>Distribuciones Norte</t>
  </si>
  <si>
    <t>+593992223344</t>
  </si>
  <si>
    <t>Tulcán</t>
  </si>
  <si>
    <t>Mayorista</t>
  </si>
  <si>
    <t>Carlos Vega</t>
  </si>
  <si>
    <t>TecnoMarket</t>
  </si>
  <si>
    <t>+593993334455</t>
  </si>
  <si>
    <t>Ibarra</t>
  </si>
  <si>
    <t>Ana Torres</t>
  </si>
  <si>
    <t>Importadora Sierra</t>
  </si>
  <si>
    <t>+593994445566</t>
  </si>
  <si>
    <t>Corporativo</t>
  </si>
  <si>
    <t>Luis Andrade</t>
  </si>
  <si>
    <t>Soluciones Digitales</t>
  </si>
  <si>
    <t>+593995556677</t>
  </si>
  <si>
    <t>Marco Galeas</t>
  </si>
  <si>
    <t>MarkSolution</t>
  </si>
  <si>
    <t>Distribuidor</t>
  </si>
  <si>
    <t>Sofía Castillo</t>
  </si>
  <si>
    <t>Alimentos Sierra Verde</t>
  </si>
  <si>
    <t>Cuenca</t>
  </si>
  <si>
    <t>Diego Molina</t>
  </si>
  <si>
    <t>Comercial Pacífico</t>
  </si>
  <si>
    <t>Guayaquil</t>
  </si>
  <si>
    <t>Valeria Núñez</t>
  </si>
  <si>
    <t>Logística del Sur</t>
  </si>
  <si>
    <t>Loja</t>
  </si>
  <si>
    <t>Esteban Ríos</t>
  </si>
  <si>
    <t>ElectroCentro</t>
  </si>
  <si>
    <t>Ambato</t>
  </si>
  <si>
    <t>Paola Cabrera</t>
  </si>
  <si>
    <t>AgroAndes</t>
  </si>
  <si>
    <t>Riobamba</t>
  </si>
  <si>
    <t>Andrés Salazar</t>
  </si>
  <si>
    <t>Innovatek</t>
  </si>
  <si>
    <t>Verónica Paredes</t>
  </si>
  <si>
    <t>Textiles del Valle</t>
  </si>
  <si>
    <t>Jorge Cárdenas</t>
  </si>
  <si>
    <t>Distribuidora El Oro</t>
  </si>
  <si>
    <t>Machala</t>
  </si>
  <si>
    <t>Natalia Romero</t>
  </si>
  <si>
    <t>ServiQ</t>
  </si>
  <si>
    <t>David Jiménez</t>
  </si>
  <si>
    <t>Comercial Esmeralda</t>
  </si>
  <si>
    <t>Esmeraldas</t>
  </si>
  <si>
    <t>Patricia Cedeño</t>
  </si>
  <si>
    <t>Mar y Campo</t>
  </si>
  <si>
    <t>Manta</t>
  </si>
  <si>
    <t>Francisco Chávez</t>
  </si>
  <si>
    <t>Tecnored</t>
  </si>
  <si>
    <t>Daniela Jara</t>
  </si>
  <si>
    <t>Andes Gourmet</t>
  </si>
  <si>
    <t>Héctor Villalba</t>
  </si>
  <si>
    <t>MaxiDistribuciones</t>
  </si>
  <si>
    <t>Santo Domingo</t>
  </si>
  <si>
    <t>Carolina Ponce</t>
  </si>
  <si>
    <t>FerreMundo</t>
  </si>
  <si>
    <t>Santiago Mena</t>
  </si>
  <si>
    <t>EcoServicios</t>
  </si>
  <si>
    <t>Laura Benítez</t>
  </si>
  <si>
    <t>Comercial Tulcán</t>
  </si>
  <si>
    <t>Gustavo Pacheco</t>
  </si>
  <si>
    <t>Andina Logistics</t>
  </si>
  <si>
    <t>Monica Silva</t>
  </si>
  <si>
    <t>SuperAlimentos</t>
  </si>
  <si>
    <t>Ricardo Ochoa</t>
  </si>
  <si>
    <t>RedMarket</t>
  </si>
  <si>
    <t>Adriana Fiallos</t>
  </si>
  <si>
    <t>Textiles Norte</t>
  </si>
  <si>
    <t>Cristian Medina</t>
  </si>
  <si>
    <t>AgroPacífico</t>
  </si>
  <si>
    <t>Belén Torres</t>
  </si>
  <si>
    <t>CityTech</t>
  </si>
  <si>
    <t>Fernando Lema</t>
  </si>
  <si>
    <t>LogistiQ</t>
  </si>
  <si>
    <t>Karina Pilay</t>
  </si>
  <si>
    <t>ElectroLitoral</t>
  </si>
  <si>
    <t>Marcelo Córdova</t>
  </si>
  <si>
    <t>Comercial Riobamba</t>
  </si>
  <si>
    <t>Elena Almeida</t>
  </si>
  <si>
    <t>Andes Farma</t>
  </si>
  <si>
    <t>Pedro Vinueza</t>
  </si>
  <si>
    <t>Distribuciones Ibarra</t>
  </si>
  <si>
    <t>Silvia Ordoñez</t>
  </si>
  <si>
    <t>Insumos Sierra</t>
  </si>
  <si>
    <t>Javier Tapia</t>
  </si>
  <si>
    <t>Global Foods</t>
  </si>
  <si>
    <t>Camila Herrera</t>
  </si>
  <si>
    <t>DigitalHub</t>
  </si>
  <si>
    <t>Wilson Quishpe</t>
  </si>
  <si>
    <t>Comercial Manta</t>
  </si>
  <si>
    <t>Teresa Paredes</t>
  </si>
  <si>
    <t>Empaques Andinos</t>
  </si>
  <si>
    <t>Rodrigo Vera</t>
  </si>
  <si>
    <t>GiroMarket</t>
  </si>
  <si>
    <t>Paulina Castro</t>
  </si>
  <si>
    <t>ServiAndes</t>
  </si>
  <si>
    <t>Kevin Aguirre</t>
  </si>
  <si>
    <t>ElectroAndina</t>
  </si>
  <si>
    <t>Daniel Rueda</t>
  </si>
  <si>
    <t>La Bodega Litoral</t>
  </si>
  <si>
    <t>Gabriela Cueva</t>
  </si>
  <si>
    <t>MaxiMayoreo</t>
  </si>
  <si>
    <t>Mateo Yánez</t>
  </si>
  <si>
    <t>ConectaCorp</t>
  </si>
  <si>
    <t>Alexandra Viteri</t>
  </si>
  <si>
    <t>Campo Sur</t>
  </si>
  <si>
    <t>Nicolás Garzón</t>
  </si>
  <si>
    <t>Oriente Foods</t>
  </si>
  <si>
    <t>Tena</t>
  </si>
  <si>
    <t>Rosalía Lomas</t>
  </si>
  <si>
    <t>Comercial Machala</t>
  </si>
  <si>
    <t>Edgar Llagua</t>
  </si>
  <si>
    <t>AlfaNet</t>
  </si>
  <si>
    <t>Luisa Zambrano</t>
  </si>
  <si>
    <t>Distribuciones Santo</t>
  </si>
  <si>
    <t>Natalia Castro</t>
  </si>
  <si>
    <t>Agro Benítez</t>
  </si>
  <si>
    <t>Pedro Medina</t>
  </si>
  <si>
    <t>Comercial Molina</t>
  </si>
  <si>
    <t>Santiago Vera</t>
  </si>
  <si>
    <t>Market Vega</t>
  </si>
  <si>
    <t>Laura Jiménez</t>
  </si>
  <si>
    <t>Electro Cedeño</t>
  </si>
  <si>
    <t>Kevin Medina</t>
  </si>
  <si>
    <t>Textiles Villalba</t>
  </si>
  <si>
    <t>Adriana Molina</t>
  </si>
  <si>
    <t>Global Andrade</t>
  </si>
  <si>
    <t>Javier Llagua</t>
  </si>
  <si>
    <t>Textiles Córdova</t>
  </si>
  <si>
    <t>Cristian Paredes</t>
  </si>
  <si>
    <t>Andina Vinueza</t>
  </si>
  <si>
    <t>Teresa Cabrera</t>
  </si>
  <si>
    <t>Tecnología López</t>
  </si>
  <si>
    <t>Silvia Garzón</t>
  </si>
  <si>
    <t>Servicios Ponce</t>
  </si>
  <si>
    <t>Marco Villalba</t>
  </si>
  <si>
    <t>Soluciones Quishpe</t>
  </si>
  <si>
    <t>Juan Herrera</t>
  </si>
  <si>
    <t>Logística Tapia</t>
  </si>
  <si>
    <t>Natalia Ordoñez</t>
  </si>
  <si>
    <t>Logística Garzón</t>
  </si>
  <si>
    <t>Gabriela Cedeño</t>
  </si>
  <si>
    <t>Global Pérez</t>
  </si>
  <si>
    <t>Edgar Paredes</t>
  </si>
  <si>
    <t>Tecnología Ochoa</t>
  </si>
  <si>
    <t>Diego Fiallos</t>
  </si>
  <si>
    <t>Global Núñez</t>
  </si>
  <si>
    <t>Valeria Molina</t>
  </si>
  <si>
    <t>Distribuciones Salazar</t>
  </si>
  <si>
    <t>Ricardo Llagua</t>
  </si>
  <si>
    <t>Servicios Llagua</t>
  </si>
  <si>
    <t>Kevin Silva</t>
  </si>
  <si>
    <t>Comercial Chávez</t>
  </si>
  <si>
    <t>Silvia Mena</t>
  </si>
  <si>
    <t>Market Cárdenas</t>
  </si>
  <si>
    <t>Luis Cedeño</t>
  </si>
  <si>
    <t>Global Molina</t>
  </si>
  <si>
    <t>Cristian Almeida</t>
  </si>
  <si>
    <t>Servicios Andrade</t>
  </si>
  <si>
    <t>Ricardo Ponce</t>
  </si>
  <si>
    <t>Alimentos Fiallos</t>
  </si>
  <si>
    <t>Adriana Garzón</t>
  </si>
  <si>
    <t>Agro Cabrera</t>
  </si>
  <si>
    <t>Fernando Viteri</t>
  </si>
  <si>
    <t>Alimentos Ponce</t>
  </si>
  <si>
    <t>Pedro Quishpe</t>
  </si>
  <si>
    <t>Servicios Jiménez</t>
  </si>
  <si>
    <t>Juan Benítez</t>
  </si>
  <si>
    <t>Pacífico Jiménez</t>
  </si>
  <si>
    <t>Elena Pacheco</t>
  </si>
  <si>
    <t>Global Llagua</t>
  </si>
  <si>
    <t>Santiago Yánez</t>
  </si>
  <si>
    <t>Electro Galeas</t>
  </si>
  <si>
    <t>Rodrigo Llagua</t>
  </si>
  <si>
    <t>Pacífico Benítez</t>
  </si>
  <si>
    <t>Laura López</t>
  </si>
  <si>
    <t>Comercial Lomas</t>
  </si>
  <si>
    <t>Wilson Torres</t>
  </si>
  <si>
    <t>Textiles Rueda</t>
  </si>
  <si>
    <t>Ana Cabrera</t>
  </si>
  <si>
    <t>Global Medina</t>
  </si>
  <si>
    <t>Adriana López</t>
  </si>
  <si>
    <t>Importadora Lomas</t>
  </si>
  <si>
    <t>Karina Vinueza</t>
  </si>
  <si>
    <t>Electro Ponce</t>
  </si>
  <si>
    <t>Elena Villalba</t>
  </si>
  <si>
    <t>Distribuciones Vinueza</t>
  </si>
  <si>
    <t>Valeria Mena</t>
  </si>
  <si>
    <t>Importadora Mena</t>
  </si>
  <si>
    <t>Daniel Chávez</t>
  </si>
  <si>
    <t>Comercial Llagua</t>
  </si>
  <si>
    <t>Fernando Torres</t>
  </si>
  <si>
    <t>Agro Lema</t>
  </si>
  <si>
    <t>Héctor Zambrano</t>
  </si>
  <si>
    <t>Gustavo Paredes</t>
  </si>
  <si>
    <t>Distribuciones López</t>
  </si>
  <si>
    <t>Rodrigo Lema</t>
  </si>
  <si>
    <t>Distribuciones Pacheco</t>
  </si>
  <si>
    <t>Paola Zambrano</t>
  </si>
  <si>
    <t>Agro Ríos</t>
  </si>
  <si>
    <t>Paola Llagua</t>
  </si>
  <si>
    <t>Sofía Molina</t>
  </si>
  <si>
    <t>Servicios Cueva</t>
  </si>
  <si>
    <t>Jorge Romero</t>
  </si>
  <si>
    <t>Servicios Villalba</t>
  </si>
  <si>
    <t>Sofía Viteri</t>
  </si>
  <si>
    <t>Soluciones Núñez</t>
  </si>
  <si>
    <t>Rodrigo Salazar</t>
  </si>
  <si>
    <t>Agro Andrade</t>
  </si>
  <si>
    <t>Laura Ponce</t>
  </si>
  <si>
    <t>Tecnología Cueva</t>
  </si>
  <si>
    <t>Daniela Cedeño</t>
  </si>
  <si>
    <t>Servicios Cabrera</t>
  </si>
  <si>
    <t>Sofía Torres</t>
  </si>
  <si>
    <t>Market Zambrano</t>
  </si>
  <si>
    <t>Cristian Ríos</t>
  </si>
  <si>
    <t>Electro Molina</t>
  </si>
  <si>
    <t>Cristian Quishpe</t>
  </si>
  <si>
    <t>Andina Cueva</t>
  </si>
  <si>
    <t>Valeria Vega</t>
  </si>
  <si>
    <t>Luisa Medina</t>
  </si>
  <si>
    <t>Market Molina</t>
  </si>
  <si>
    <t>Ana Pacheco</t>
  </si>
  <si>
    <t>Importadora Fiallos</t>
  </si>
  <si>
    <t>Teresa Pilay</t>
  </si>
  <si>
    <t>Servicios Medina</t>
  </si>
  <si>
    <t>Diego Medina</t>
  </si>
  <si>
    <t>Comercial Vinueza</t>
  </si>
  <si>
    <t>Carlos Viteri</t>
  </si>
  <si>
    <t>Market Garzón</t>
  </si>
  <si>
    <t>María Aguirre</t>
  </si>
  <si>
    <t>Market Yánez</t>
  </si>
  <si>
    <t>Natalia Salazar</t>
  </si>
  <si>
    <t>Andina Medina</t>
  </si>
  <si>
    <t>Alexandra Pilay</t>
  </si>
  <si>
    <t>Market Pacheco</t>
  </si>
  <si>
    <t>Alexandra Cedeño</t>
  </si>
  <si>
    <t>Distribuciones Torres</t>
  </si>
  <si>
    <t>Pedro Andrade</t>
  </si>
  <si>
    <t>Distribuciones Rueda</t>
  </si>
  <si>
    <t>Santiago Silva</t>
  </si>
  <si>
    <t>Global Ochoa</t>
  </si>
  <si>
    <t>Santiago Torres</t>
  </si>
  <si>
    <t>Tecnología Andrade</t>
  </si>
  <si>
    <t>Teresa Mena</t>
  </si>
  <si>
    <t>Importadora Ochoa</t>
  </si>
  <si>
    <t>Marcelo Romero</t>
  </si>
  <si>
    <t>Soluciones Andrade</t>
  </si>
  <si>
    <t>Sofía Almeida</t>
  </si>
  <si>
    <t>Comercial Cueva</t>
  </si>
  <si>
    <t>Verónica Castro</t>
  </si>
  <si>
    <t>Global Villalba</t>
  </si>
  <si>
    <t>Santiago Pérez</t>
  </si>
  <si>
    <t>Alimentos Quishpe</t>
  </si>
  <si>
    <t>Javier Silva</t>
  </si>
  <si>
    <t>Edgar Vega</t>
  </si>
  <si>
    <t>Market Vinueza</t>
  </si>
  <si>
    <t>Rodrigo Herrera</t>
  </si>
  <si>
    <t>Agro Yánez</t>
  </si>
  <si>
    <t>María Viteri</t>
  </si>
  <si>
    <t>Comercial Núñez</t>
  </si>
  <si>
    <t>Gabriela Chávez</t>
  </si>
  <si>
    <t>Luis Molina</t>
  </si>
  <si>
    <t>Global Salazar</t>
  </si>
  <si>
    <t>Textiles Benítez</t>
  </si>
  <si>
    <t>Luisa Romero</t>
  </si>
  <si>
    <t>Market Mena</t>
  </si>
  <si>
    <t>Kevin Galeas</t>
  </si>
  <si>
    <t>Servicios Castillo</t>
  </si>
  <si>
    <t>Servicios Zambrano</t>
  </si>
  <si>
    <t>Luisa Andrade</t>
  </si>
  <si>
    <t>Ana Cárdenas</t>
  </si>
  <si>
    <t>Market López</t>
  </si>
  <si>
    <t>Carolina Mena</t>
  </si>
  <si>
    <t>Logística Pérez</t>
  </si>
  <si>
    <t>Karina Torres</t>
  </si>
  <si>
    <t>Electro Villalba</t>
  </si>
  <si>
    <t>Natalia Lomas</t>
  </si>
  <si>
    <t>Pacífico Quishpe</t>
  </si>
  <si>
    <t>Verónica Villalba</t>
  </si>
  <si>
    <t>Textiles Vera</t>
  </si>
  <si>
    <t>Nicolás Castro</t>
  </si>
  <si>
    <t>Servicios Almeida</t>
  </si>
  <si>
    <t>Ana Castillo</t>
  </si>
  <si>
    <t>Tecnología Almeida</t>
  </si>
  <si>
    <t>Ana Aguirre</t>
  </si>
  <si>
    <t>Tecnología Quishpe</t>
  </si>
  <si>
    <t>Marco Lema</t>
  </si>
  <si>
    <t>Global Cedeño</t>
  </si>
  <si>
    <t>Rosalía Molina</t>
  </si>
  <si>
    <t>Textiles Cueva</t>
  </si>
  <si>
    <t>Francisco López</t>
  </si>
  <si>
    <t>Soluciones Medina</t>
  </si>
  <si>
    <t>Luisa Benítez</t>
  </si>
  <si>
    <t>Rosalía Villalba</t>
  </si>
  <si>
    <t>Servicios Mena</t>
  </si>
  <si>
    <t>Verónica Mena</t>
  </si>
  <si>
    <t>Pacífico Ponce</t>
  </si>
  <si>
    <t>Esteban Yánez</t>
  </si>
  <si>
    <t>Tecnología Cabrera</t>
  </si>
  <si>
    <t>Gustavo Núñez</t>
  </si>
  <si>
    <t>Textiles Paredes</t>
  </si>
  <si>
    <t>Javier Aguirre</t>
  </si>
  <si>
    <t>Textiles Vega</t>
  </si>
  <si>
    <t>Laura Aguirre</t>
  </si>
  <si>
    <t>Tecnología Yánez</t>
  </si>
  <si>
    <t>Edgar Lema</t>
  </si>
  <si>
    <t>Textiles Chávez</t>
  </si>
  <si>
    <t>David Pacheco</t>
  </si>
  <si>
    <t>Daniela Zambrano</t>
  </si>
  <si>
    <t>Alimentos Silva</t>
  </si>
  <si>
    <t>Javier Vega</t>
  </si>
  <si>
    <t>Logística Lomas</t>
  </si>
  <si>
    <t>Tecnología Paredes</t>
  </si>
  <si>
    <t>Valeria Aguirre</t>
  </si>
  <si>
    <t>Servicios Jara</t>
  </si>
  <si>
    <t>Rosalía Ordoñez</t>
  </si>
  <si>
    <t>Carlos Salazar</t>
  </si>
  <si>
    <t>Andina Villalba</t>
  </si>
  <si>
    <t>Héctor Vega</t>
  </si>
  <si>
    <t>Pacífico Zambrano</t>
  </si>
  <si>
    <t>Valeria Ochoa</t>
  </si>
  <si>
    <t>Servicios Quishpe</t>
  </si>
  <si>
    <t>Mateo Ríos</t>
  </si>
  <si>
    <t>Global Jara</t>
  </si>
  <si>
    <t>Elena Ordoñez</t>
  </si>
  <si>
    <t>Tecnología Torres</t>
  </si>
  <si>
    <t>David Quishpe</t>
  </si>
  <si>
    <t>Cristian Pilay</t>
  </si>
  <si>
    <t>Comercial Herrera</t>
  </si>
  <si>
    <t>Natalia Mena</t>
  </si>
  <si>
    <t>Logística Castillo</t>
  </si>
  <si>
    <t>Juan Córdova</t>
  </si>
  <si>
    <t>Soluciones Salazar</t>
  </si>
  <si>
    <t>Jorge Núñez</t>
  </si>
  <si>
    <t>Tecnología Galeas</t>
  </si>
  <si>
    <t>Servicios Romero</t>
  </si>
  <si>
    <t>Agro Vinueza</t>
  </si>
  <si>
    <t>Servicios Ochoa</t>
  </si>
  <si>
    <t>Paola Villalba</t>
  </si>
  <si>
    <t>Global Viteri</t>
  </si>
  <si>
    <t>Marco López</t>
  </si>
  <si>
    <t>Distribuciones Benítez</t>
  </si>
  <si>
    <t>Ana Ponce</t>
  </si>
  <si>
    <t>Comercial Romero</t>
  </si>
  <si>
    <t>Marcelo Silva</t>
  </si>
  <si>
    <t>Alexandra Jiménez</t>
  </si>
  <si>
    <t>Textiles Tapia</t>
  </si>
  <si>
    <t>Juan Medina</t>
  </si>
  <si>
    <t>Pacífico Castro</t>
  </si>
  <si>
    <t>Edgar López</t>
  </si>
  <si>
    <t>Soluciones Vera</t>
  </si>
  <si>
    <t>Wilson Galeas</t>
  </si>
  <si>
    <t>Logística Ponce</t>
  </si>
  <si>
    <t>Belén Chávez</t>
  </si>
  <si>
    <t>Distribuciones Chávez</t>
  </si>
  <si>
    <t>Cristian Ochoa</t>
  </si>
  <si>
    <t>Camila Vega</t>
  </si>
  <si>
    <t>Pacífico Garzón</t>
  </si>
  <si>
    <t>Ricardo Ríos</t>
  </si>
  <si>
    <t>Alimentos Romero</t>
  </si>
  <si>
    <t>Juan Cárdenas</t>
  </si>
  <si>
    <t>Distribuciones Castillo</t>
  </si>
  <si>
    <t>Diego Yánez</t>
  </si>
  <si>
    <t>Andina Herrera</t>
  </si>
  <si>
    <t>Silvia Almeida</t>
  </si>
  <si>
    <t>Electro Salazar</t>
  </si>
  <si>
    <t>Distribuciones Paredes</t>
  </si>
  <si>
    <t>Wilson Herrera</t>
  </si>
  <si>
    <t>Soluciones Tapia</t>
  </si>
  <si>
    <t>Valeria Ríos</t>
  </si>
  <si>
    <t>Pedro Rueda</t>
  </si>
  <si>
    <t>Kevin Almeida</t>
  </si>
  <si>
    <t>Soluciones Castillo</t>
  </si>
  <si>
    <t>Carolina Herrera</t>
  </si>
  <si>
    <t>Importadora López</t>
  </si>
  <si>
    <t>Belén Pacheco</t>
  </si>
  <si>
    <t>Javier Paredes</t>
  </si>
  <si>
    <t>Andina Castillo</t>
  </si>
  <si>
    <t>Adriana Pérez</t>
  </si>
  <si>
    <t>Agro Paredes</t>
  </si>
  <si>
    <t>Daniela Vera</t>
  </si>
  <si>
    <t>Logística Villalba</t>
  </si>
  <si>
    <t>Andrés Medina</t>
  </si>
  <si>
    <t>Alimentos Torres</t>
  </si>
  <si>
    <t>Adriana Rueda</t>
  </si>
  <si>
    <t>Distribuciones Mena</t>
  </si>
  <si>
    <t>Cristian Tapia</t>
  </si>
  <si>
    <t>Logística Zambrano</t>
  </si>
  <si>
    <t>Textiles Yánez</t>
  </si>
  <si>
    <t>Verónica Cárdenas</t>
  </si>
  <si>
    <t>Servicios Lomas</t>
  </si>
  <si>
    <t>Rodrigo Aguirre</t>
  </si>
  <si>
    <t>Global Benítez</t>
  </si>
  <si>
    <t>Wilson Viteri</t>
  </si>
  <si>
    <t>Market Llagua</t>
  </si>
  <si>
    <t>Sofía Vera</t>
  </si>
  <si>
    <t>Global Ordoñez</t>
  </si>
  <si>
    <t>Belén Ochoa</t>
  </si>
  <si>
    <t>Logística Jiménez</t>
  </si>
  <si>
    <t>Fernando Paredes</t>
  </si>
  <si>
    <t>Comercial Córdova</t>
  </si>
  <si>
    <t>Esteban Salazar</t>
  </si>
  <si>
    <t>Logística Molina</t>
  </si>
  <si>
    <t>Cristian Zambrano</t>
  </si>
  <si>
    <t>Market Torres</t>
  </si>
  <si>
    <t>Sofía Quishpe</t>
  </si>
  <si>
    <t>Comercial Garzón</t>
  </si>
  <si>
    <t>Carolina Tapia</t>
  </si>
  <si>
    <t>Distribuciones Jiménez</t>
  </si>
  <si>
    <t>Santiago Cedeño</t>
  </si>
  <si>
    <t>Electro Viteri</t>
  </si>
  <si>
    <t>David Ponce</t>
  </si>
  <si>
    <t>Pacífico Torres</t>
  </si>
  <si>
    <t>Importadora Salazar</t>
  </si>
  <si>
    <t>Tecnología Fiallos</t>
  </si>
  <si>
    <t>Ricardo Lomas</t>
  </si>
  <si>
    <t>Electro Quishpe</t>
  </si>
  <si>
    <t>Belén Viteri</t>
  </si>
  <si>
    <t>Global Almeida</t>
  </si>
  <si>
    <t>Elena Salazar</t>
  </si>
  <si>
    <t>Marco Pacheco</t>
  </si>
  <si>
    <t>Tecnología Cárdenas</t>
  </si>
  <si>
    <t>Karina Garzón</t>
  </si>
  <si>
    <t>Fernando Almeida</t>
  </si>
  <si>
    <t>Textiles Ordoñez</t>
  </si>
  <si>
    <t>Wilson Ochoa</t>
  </si>
  <si>
    <t>Servicios Silva</t>
  </si>
  <si>
    <t>Paola Mena</t>
  </si>
  <si>
    <t>Servicios Castro</t>
  </si>
  <si>
    <t>Camila Ponce</t>
  </si>
  <si>
    <t>Importadora Torres</t>
  </si>
  <si>
    <t>Jorge Jiménez</t>
  </si>
  <si>
    <t>Soluciones Rueda</t>
  </si>
  <si>
    <t>Edgar Garzón</t>
  </si>
  <si>
    <t>Global Mena</t>
  </si>
  <si>
    <t>Marcelo Torres</t>
  </si>
  <si>
    <t>Electro Llagua</t>
  </si>
  <si>
    <t>Laura Pacheco</t>
  </si>
  <si>
    <t>Electro Fiallos</t>
  </si>
  <si>
    <t>Camila Villalba</t>
  </si>
  <si>
    <t>Electro Lema</t>
  </si>
  <si>
    <t>Mateo Vera</t>
  </si>
  <si>
    <t>Electro Garzón</t>
  </si>
  <si>
    <t>Javier Pacheco</t>
  </si>
  <si>
    <t>Tecnología Pérez</t>
  </si>
  <si>
    <t>Karina Quishpe</t>
  </si>
  <si>
    <t>Camila Paredes</t>
  </si>
  <si>
    <t>Logística Mena</t>
  </si>
  <si>
    <t>Edgar Ordoñez</t>
  </si>
  <si>
    <t>Andina Lema</t>
  </si>
  <si>
    <t>Silvia Rueda</t>
  </si>
  <si>
    <t>Global Paredes</t>
  </si>
  <si>
    <t>Belén Cabrera</t>
  </si>
  <si>
    <t>Andina Silva</t>
  </si>
  <si>
    <t>Verónica Torres</t>
  </si>
  <si>
    <t>Agro Pacheco</t>
  </si>
  <si>
    <t>Javier Villalba</t>
  </si>
  <si>
    <t>Alimentos Pacheco</t>
  </si>
  <si>
    <t>Mónica Andrade</t>
  </si>
  <si>
    <t>Servicios Pérez</t>
  </si>
  <si>
    <t>Javier Quishpe</t>
  </si>
  <si>
    <t>Alimentos Mena</t>
  </si>
  <si>
    <t>Gabriela Andrade</t>
  </si>
  <si>
    <t>Importadora Cabrera</t>
  </si>
  <si>
    <t>Gustavo Viteri</t>
  </si>
  <si>
    <t>Distribuciones Herrera</t>
  </si>
  <si>
    <t>Luisa Almeida</t>
  </si>
  <si>
    <t>Servicios Vinueza</t>
  </si>
  <si>
    <t>Patricia Quishpe</t>
  </si>
  <si>
    <t>Global Rueda</t>
  </si>
  <si>
    <t>Francisco Cedeño</t>
  </si>
  <si>
    <t>Agro Zambrano</t>
  </si>
  <si>
    <t>Gabriela Silva</t>
  </si>
  <si>
    <t>Servicios Torres</t>
  </si>
  <si>
    <t>Wilson Romero</t>
  </si>
  <si>
    <t>Soluciones Aguirre</t>
  </si>
  <si>
    <t>Adriana Cárdenas</t>
  </si>
  <si>
    <t>Alimentos Ordoñez</t>
  </si>
  <si>
    <t>Gabriela Cárdenas</t>
  </si>
  <si>
    <t>Importadora Romero</t>
  </si>
  <si>
    <t>Juan Silva</t>
  </si>
  <si>
    <t>Tecnología Vera</t>
  </si>
  <si>
    <t>Cristian Villalba</t>
  </si>
  <si>
    <t>Soluciones Ponce</t>
  </si>
  <si>
    <t>Pedro Ochoa</t>
  </si>
  <si>
    <t>Alimentos Jara</t>
  </si>
  <si>
    <t>Ana Ochoa</t>
  </si>
  <si>
    <t>Distribuciones Lema</t>
  </si>
  <si>
    <t>Electro Ochoa</t>
  </si>
  <si>
    <t>Juan Mena</t>
  </si>
  <si>
    <t>Textiles Ríos</t>
  </si>
  <si>
    <t>Juan Fiallos</t>
  </si>
  <si>
    <t>Pacífico Córdova</t>
  </si>
  <si>
    <t>Héctor Pilay</t>
  </si>
  <si>
    <t>Rodrigo Galeas</t>
  </si>
  <si>
    <t>Importadora Castro</t>
  </si>
  <si>
    <t>Patricia Ponce</t>
  </si>
  <si>
    <t>Pacífico Cedeño</t>
  </si>
  <si>
    <t>Verónica Molina</t>
  </si>
  <si>
    <t>Importadora Vinueza</t>
  </si>
  <si>
    <t>Agro Tapia</t>
  </si>
  <si>
    <t>Textiles Galeas</t>
  </si>
  <si>
    <t>Héctor Núñez</t>
  </si>
  <si>
    <t>Electro Vera</t>
  </si>
  <si>
    <t>Gustavo Vinueza</t>
  </si>
  <si>
    <t>Andrés Vinueza</t>
  </si>
  <si>
    <t>Agro Silva</t>
  </si>
  <si>
    <t>Andrés Jara</t>
  </si>
  <si>
    <t>Mateo Lomas</t>
  </si>
  <si>
    <t>Comercial Andrade</t>
  </si>
  <si>
    <t>Silvia Romero</t>
  </si>
  <si>
    <t>Daniela Pérez</t>
  </si>
  <si>
    <t>Agro Vera</t>
  </si>
  <si>
    <t>Javier Garzón</t>
  </si>
  <si>
    <t>Agro Almeida</t>
  </si>
  <si>
    <t>Carolina Cabrera</t>
  </si>
  <si>
    <t>David Cueva</t>
  </si>
  <si>
    <t>Servicios Pacheco</t>
  </si>
  <si>
    <t>Francisco Mena</t>
  </si>
  <si>
    <t>Comercial Pacheco</t>
  </si>
  <si>
    <t>Paulina Pilay</t>
  </si>
  <si>
    <t>Pacífico Chávez</t>
  </si>
  <si>
    <t>Luis Vera</t>
  </si>
  <si>
    <t>Textiles Castillo</t>
  </si>
  <si>
    <t>Elena Jiménez</t>
  </si>
  <si>
    <t>Logística Jara</t>
  </si>
  <si>
    <t>Paola Pacheco</t>
  </si>
  <si>
    <t>Alimentos Cueva</t>
  </si>
  <si>
    <t>Diego Núñez</t>
  </si>
  <si>
    <t>Andina Pilay</t>
  </si>
  <si>
    <t>Santiago Garzón</t>
  </si>
  <si>
    <t>Servicios Paredes</t>
  </si>
  <si>
    <t>Patricia Tapia</t>
  </si>
  <si>
    <t>Soluciones Castro</t>
  </si>
  <si>
    <t>Andrés Galeas</t>
  </si>
  <si>
    <t>Soluciones Pilay</t>
  </si>
  <si>
    <t>Fernando Quishpe</t>
  </si>
  <si>
    <t>Andina Cárdenas</t>
  </si>
  <si>
    <t>María Salazar</t>
  </si>
  <si>
    <t>Agro Chávez</t>
  </si>
  <si>
    <t>Distribuciones Silva</t>
  </si>
  <si>
    <t>Francisco Pacheco</t>
  </si>
  <si>
    <t>Market Núñez</t>
  </si>
  <si>
    <t>Gustavo Ochoa</t>
  </si>
  <si>
    <t>Agro Torres</t>
  </si>
  <si>
    <t>Paola Vera</t>
  </si>
  <si>
    <t>Distribuciones Pérez</t>
  </si>
  <si>
    <t>Paulina Lema</t>
  </si>
  <si>
    <t>Market Córdova</t>
  </si>
  <si>
    <t>Cristian Yánez</t>
  </si>
  <si>
    <t>Comercial Rueda</t>
  </si>
  <si>
    <t>Karina Vega</t>
  </si>
  <si>
    <t>Ana Pilay</t>
  </si>
  <si>
    <t>Importadora Cedeño</t>
  </si>
  <si>
    <t>Patricia Aguirre</t>
  </si>
  <si>
    <t>Importadora Silva</t>
  </si>
  <si>
    <t>Ricardo López</t>
  </si>
  <si>
    <t>Alimentos Castro</t>
  </si>
  <si>
    <t>Mónica Benítez</t>
  </si>
  <si>
    <t>María Villalba</t>
  </si>
  <si>
    <t>Alimentos Medina</t>
  </si>
  <si>
    <t>Natalia Galeas</t>
  </si>
  <si>
    <t>Comercial Jiménez</t>
  </si>
  <si>
    <t>Wilson Ordoñez</t>
  </si>
  <si>
    <t>Tecnología Jara</t>
  </si>
  <si>
    <t>Marcelo Villalba</t>
  </si>
  <si>
    <t>Importadora Herrera</t>
  </si>
  <si>
    <t>Market Cabrera</t>
  </si>
  <si>
    <t>María Lomas</t>
  </si>
  <si>
    <t>Ricardo Paredes</t>
  </si>
  <si>
    <t>Distribuciones Castro</t>
  </si>
  <si>
    <t>Alimentos Chávez</t>
  </si>
  <si>
    <t>Juan Salazar</t>
  </si>
  <si>
    <t>Importadora Cueva</t>
  </si>
  <si>
    <t>Gabriela Vega</t>
  </si>
  <si>
    <t>Andina Ponce</t>
  </si>
  <si>
    <t>Elena Paredes</t>
  </si>
  <si>
    <t>Textiles Mena</t>
  </si>
  <si>
    <t>Market Fiallos</t>
  </si>
  <si>
    <t>Silvia Castro</t>
  </si>
  <si>
    <t>Agro Fiallos</t>
  </si>
  <si>
    <t>Silvia Vega</t>
  </si>
  <si>
    <t>Héctor Almeida</t>
  </si>
  <si>
    <t>Electro Yánez</t>
  </si>
  <si>
    <t>Kevin Tapia</t>
  </si>
  <si>
    <t>Soluciones Jiménez</t>
  </si>
  <si>
    <t>David Vinueza</t>
  </si>
  <si>
    <t>Laura Fiallos</t>
  </si>
  <si>
    <t>Paola Castro</t>
  </si>
  <si>
    <t>Servicios Fiallos</t>
  </si>
  <si>
    <t>Nicolás Torres</t>
  </si>
  <si>
    <t>Daniel Paredes</t>
  </si>
  <si>
    <t>Edgar Jara</t>
  </si>
  <si>
    <t>Alimentos Viteri</t>
  </si>
  <si>
    <t>Santiago Romero</t>
  </si>
  <si>
    <t>Distribuciones Medina</t>
  </si>
  <si>
    <t>Gustavo Aguirre</t>
  </si>
  <si>
    <t>Global Fiallos</t>
  </si>
  <si>
    <t>Laura Chávez</t>
  </si>
  <si>
    <t>Tecnología Ponce</t>
  </si>
  <si>
    <t>María Llagua</t>
  </si>
  <si>
    <t>Importadora Llagua</t>
  </si>
  <si>
    <t>Silvia Llagua</t>
  </si>
  <si>
    <t>Global Cueva</t>
  </si>
  <si>
    <t>Ricardo Benítez</t>
  </si>
  <si>
    <t>Electro Cabrera</t>
  </si>
  <si>
    <t>Camila Vera</t>
  </si>
  <si>
    <t>Market Jara</t>
  </si>
  <si>
    <t>Laura Salazar</t>
  </si>
  <si>
    <t>Tecnología Córdova</t>
  </si>
  <si>
    <t>Nicolás Ríos</t>
  </si>
  <si>
    <t>Verónica Aguirre</t>
  </si>
  <si>
    <t>Soluciones Mena</t>
  </si>
  <si>
    <t>David Villalba</t>
  </si>
  <si>
    <t>Alexandra Córdova</t>
  </si>
  <si>
    <t>Electro Pérez</t>
  </si>
  <si>
    <t>Ana Medina</t>
  </si>
  <si>
    <t>Global Tapia</t>
  </si>
  <si>
    <t>Rodrigo Pilay</t>
  </si>
  <si>
    <t>Agro Quishpe</t>
  </si>
  <si>
    <t>Paola Cedeño</t>
  </si>
  <si>
    <t>Valeria Torres</t>
  </si>
  <si>
    <t>Global Romero</t>
  </si>
  <si>
    <t>Valeria Herrera</t>
  </si>
  <si>
    <t>Market Almeida</t>
  </si>
  <si>
    <t>Belén Ordoñez</t>
  </si>
  <si>
    <t>Distribuciones Molina</t>
  </si>
  <si>
    <t>Andrés Pacheco</t>
  </si>
  <si>
    <t>Jorge Pérez</t>
  </si>
  <si>
    <t>Belén Silva</t>
  </si>
  <si>
    <t>Fernando Pilay</t>
  </si>
  <si>
    <t>Global Vega</t>
  </si>
  <si>
    <t>Importadora Quishpe</t>
  </si>
  <si>
    <t>Carlos Pilay</t>
  </si>
  <si>
    <t>Héctor Ochoa</t>
  </si>
  <si>
    <t>Logística Cueva</t>
  </si>
  <si>
    <t>Juan Paredes</t>
  </si>
  <si>
    <t>Market Silva</t>
  </si>
  <si>
    <t>Luisa Garzón</t>
  </si>
  <si>
    <t>Pacífico Medina</t>
  </si>
  <si>
    <t>Marco Almeida</t>
  </si>
  <si>
    <t>Global Cárdenas</t>
  </si>
  <si>
    <t>Silvia Benítez</t>
  </si>
  <si>
    <t>Agro Pilay</t>
  </si>
  <si>
    <t>Santiago Vega</t>
  </si>
  <si>
    <t>Carlos Romero</t>
  </si>
  <si>
    <t>Belén Córdova</t>
  </si>
  <si>
    <t>Comercial Mena</t>
  </si>
  <si>
    <t>Mónica Ríos</t>
  </si>
  <si>
    <t>Cristian Andrade</t>
  </si>
  <si>
    <t>Logística Quishpe</t>
  </si>
  <si>
    <t>Luis Rueda</t>
  </si>
  <si>
    <t>Comercial Galeas</t>
  </si>
  <si>
    <t>Daniela Cueva</t>
  </si>
  <si>
    <t>Soluciones Chávez</t>
  </si>
  <si>
    <t>Gabriela Aguirre</t>
  </si>
  <si>
    <t>Soluciones Vinueza</t>
  </si>
  <si>
    <t>Verónica Jara</t>
  </si>
  <si>
    <t>Sofía Pacheco</t>
  </si>
  <si>
    <t>Marco Benítez</t>
  </si>
  <si>
    <t>Global Ríos</t>
  </si>
  <si>
    <t>Gabriela Vera</t>
  </si>
  <si>
    <t>Tecnología Castro</t>
  </si>
  <si>
    <t>Daniel Garzón</t>
  </si>
  <si>
    <t>Alimentos Cabrera</t>
  </si>
  <si>
    <t>Verónica Ponce</t>
  </si>
  <si>
    <t>Wilson Ríos</t>
  </si>
  <si>
    <t>Daniel Lema</t>
  </si>
  <si>
    <t>Andina Molina</t>
  </si>
  <si>
    <t>Daniela Benítez</t>
  </si>
  <si>
    <t>Pacífico Mena</t>
  </si>
  <si>
    <t>Silvia Pilay</t>
  </si>
  <si>
    <t>Market Ponce</t>
  </si>
  <si>
    <t>Andrés Lema</t>
  </si>
  <si>
    <t>Market Herrera</t>
  </si>
  <si>
    <t>Kevin Cabrera</t>
  </si>
  <si>
    <t>Global Herrera</t>
  </si>
  <si>
    <t>Mónica Pérez</t>
  </si>
  <si>
    <t>Karina Salazar</t>
  </si>
  <si>
    <t>Global Silva</t>
  </si>
  <si>
    <t>Cristian Castillo</t>
  </si>
  <si>
    <t>Distribuciones Ríos</t>
  </si>
  <si>
    <t>Kevin Cárdenas</t>
  </si>
  <si>
    <t>Comercial Ríos</t>
  </si>
  <si>
    <t>Gustavo Lomas</t>
  </si>
  <si>
    <t>Textiles Almeida</t>
  </si>
  <si>
    <t>Edgar Vinueza</t>
  </si>
  <si>
    <t>Importadora Ponce</t>
  </si>
  <si>
    <t>Mónica Viteri</t>
  </si>
  <si>
    <t>Santiago Pacheco</t>
  </si>
  <si>
    <t>Natalia Herrera</t>
  </si>
  <si>
    <t>Alimentos Aguirre</t>
  </si>
  <si>
    <t>Laura Medina</t>
  </si>
  <si>
    <t>Adriana Almeida</t>
  </si>
  <si>
    <t>Paola Lomas</t>
  </si>
  <si>
    <t>Importadora Ríos</t>
  </si>
  <si>
    <t>Marcelo Castro</t>
  </si>
  <si>
    <t>Tecnología Benítez</t>
  </si>
  <si>
    <t>Ricardo Andrade</t>
  </si>
  <si>
    <t>Global Vera</t>
  </si>
  <si>
    <t>Carolina Lema</t>
  </si>
  <si>
    <t>Logística Cárdenas</t>
  </si>
  <si>
    <t>Jorge Cedeño</t>
  </si>
  <si>
    <t>Pacífico Salazar</t>
  </si>
  <si>
    <t>Tecnología Medina</t>
  </si>
  <si>
    <t>Rosalía Cedeño</t>
  </si>
  <si>
    <t>Pacífico Molina</t>
  </si>
  <si>
    <t>Valeria Vera</t>
  </si>
  <si>
    <t>Textiles Cedeño</t>
  </si>
  <si>
    <t>Gustavo Yánez</t>
  </si>
  <si>
    <t>Logística Medina</t>
  </si>
  <si>
    <t>Teresa Yánez</t>
  </si>
  <si>
    <t>Tecnología Zambrano</t>
  </si>
  <si>
    <t>Fernando Vinueza</t>
  </si>
  <si>
    <t>Alimentos Vera</t>
  </si>
  <si>
    <t>Diego Lomas</t>
  </si>
  <si>
    <t>Agro Ponce</t>
  </si>
  <si>
    <t>Ricardo Pacheco</t>
  </si>
  <si>
    <t>Market Chávez</t>
  </si>
  <si>
    <t>Pedro Núñez</t>
  </si>
  <si>
    <t>Jorge Torres</t>
  </si>
  <si>
    <t>Logística Torres</t>
  </si>
  <si>
    <t>Jorge Vinueza</t>
  </si>
  <si>
    <t>Market Galeas</t>
  </si>
  <si>
    <t>Wilson Vega</t>
  </si>
  <si>
    <t>Tecnología Vinueza</t>
  </si>
  <si>
    <t>Carlos Ochoa</t>
  </si>
  <si>
    <t>Sofía Núñez</t>
  </si>
  <si>
    <t>Distribuciones Cueva</t>
  </si>
  <si>
    <t>Héctor Cedeño</t>
  </si>
  <si>
    <t>Comercial Cedeño</t>
  </si>
  <si>
    <t>Juan Ponce</t>
  </si>
  <si>
    <t>Distribuciones Viteri</t>
  </si>
  <si>
    <t>Marco Castro</t>
  </si>
  <si>
    <t>Agro Garzón</t>
  </si>
  <si>
    <t>Belén Andrade</t>
  </si>
  <si>
    <t>Alimentos Córdova</t>
  </si>
  <si>
    <t>Daniela Fiallos</t>
  </si>
  <si>
    <t>Comercial Villalba</t>
  </si>
  <si>
    <t>Karina Mena</t>
  </si>
  <si>
    <t>Ana Cedeño</t>
  </si>
  <si>
    <t>Tecnología Rueda</t>
  </si>
  <si>
    <t>Luisa Rueda</t>
  </si>
  <si>
    <t>Tecnología Garzón</t>
  </si>
  <si>
    <t>Daniela Ordoñez</t>
  </si>
  <si>
    <t>Global Jiménez</t>
  </si>
  <si>
    <t>David Cárdenas</t>
  </si>
  <si>
    <t>Nicolás Almeida</t>
  </si>
  <si>
    <t>Distribuciones Aguirre</t>
  </si>
  <si>
    <t>Ana Lema</t>
  </si>
  <si>
    <t>Teresa Vega</t>
  </si>
  <si>
    <t>Electro Ríos</t>
  </si>
  <si>
    <t>Ana Yánez</t>
  </si>
  <si>
    <t>Logística Cedeño</t>
  </si>
  <si>
    <t>Belén Cedeño</t>
  </si>
  <si>
    <t>Alimentos Villalba</t>
  </si>
  <si>
    <t>Paulina Núñez</t>
  </si>
  <si>
    <t>Esteban Benítez</t>
  </si>
  <si>
    <t>Global Galeas</t>
  </si>
  <si>
    <t>Teresa Galeas</t>
  </si>
  <si>
    <t>Adriana Silva</t>
  </si>
  <si>
    <t>Distribuciones Ponce</t>
  </si>
  <si>
    <t>Edgar Quishpe</t>
  </si>
  <si>
    <t>Electro Núñez</t>
  </si>
  <si>
    <t>Rosalía Torres</t>
  </si>
  <si>
    <t>Pacífico Paredes</t>
  </si>
  <si>
    <t>Karina Herrera</t>
  </si>
  <si>
    <t>Agro Rueda</t>
  </si>
  <si>
    <t>Natalia Ponce</t>
  </si>
  <si>
    <t>Importadora Paredes</t>
  </si>
  <si>
    <t>Cristian Aguirre</t>
  </si>
  <si>
    <t>Diego Paredes</t>
  </si>
  <si>
    <t>Alimentos Vega</t>
  </si>
  <si>
    <t>Luis Cárdenas</t>
  </si>
  <si>
    <t>Daniel Jiménez</t>
  </si>
  <si>
    <t>Servicios Cárdenas</t>
  </si>
  <si>
    <t>Gabriela Castro</t>
  </si>
  <si>
    <t>Comercial Lema</t>
  </si>
  <si>
    <t>Kevin Ochoa</t>
  </si>
  <si>
    <t>Global Pacheco</t>
  </si>
  <si>
    <t>Carolina Molina</t>
  </si>
  <si>
    <t>Marcelo Vinueza</t>
  </si>
  <si>
    <t>Alimentos Garzón</t>
  </si>
  <si>
    <t>Mónica Salazar</t>
  </si>
  <si>
    <t>Electro Chávez</t>
  </si>
  <si>
    <t>Mónica Silva</t>
  </si>
  <si>
    <t>Teresa Lomas</t>
  </si>
  <si>
    <t>David Ochoa</t>
  </si>
  <si>
    <t>Electro Herrera</t>
  </si>
  <si>
    <t>Global Yánez</t>
  </si>
  <si>
    <t>Karina Romero</t>
  </si>
  <si>
    <t>Fernando Ordoñez</t>
  </si>
  <si>
    <t>Electro Cárdenas</t>
  </si>
  <si>
    <t>Belén Jiménez</t>
  </si>
  <si>
    <t>Silvia Ochoa</t>
  </si>
  <si>
    <t>Servicios Rueda</t>
  </si>
  <si>
    <t>Luis Ochoa</t>
  </si>
  <si>
    <t>Alexandra Ordoñez</t>
  </si>
  <si>
    <t>Servicios Salazar</t>
  </si>
  <si>
    <t>Valeria Tapia</t>
  </si>
  <si>
    <t>Electro Lomas</t>
  </si>
  <si>
    <t>David Andrade</t>
  </si>
  <si>
    <t>Soluciones Romero</t>
  </si>
  <si>
    <t>Agro Vega</t>
  </si>
  <si>
    <t>Mónica Vega</t>
  </si>
  <si>
    <t>Javier Jiménez</t>
  </si>
  <si>
    <t>Alimentos Núñez</t>
  </si>
  <si>
    <t>Sofía Aguirre</t>
  </si>
  <si>
    <t>Servicios Vega</t>
  </si>
  <si>
    <t>Alimentos Castillo</t>
  </si>
  <si>
    <t>Carlos Andrade</t>
  </si>
  <si>
    <t>Tecnología Aguirre</t>
  </si>
  <si>
    <t>Luis Ordoñez</t>
  </si>
  <si>
    <t>Carolina Galeas</t>
  </si>
  <si>
    <t>Distribuciones Jara</t>
  </si>
  <si>
    <t>Sofía Benítez</t>
  </si>
  <si>
    <t>Distribuciones Llagua</t>
  </si>
  <si>
    <t>Luisa Ríos</t>
  </si>
  <si>
    <t>Tecnología Villalba</t>
  </si>
  <si>
    <t>Héctor Molina</t>
  </si>
  <si>
    <t>Soluciones Jara</t>
  </si>
  <si>
    <t>Pacífico Romero</t>
  </si>
  <si>
    <t>Fernando Ponce</t>
  </si>
  <si>
    <t>Agro Castillo</t>
  </si>
  <si>
    <t>María Almeida</t>
  </si>
  <si>
    <t>Sofía Silva</t>
  </si>
  <si>
    <t>Textiles Viteri</t>
  </si>
  <si>
    <t>Jorge Cabrera</t>
  </si>
  <si>
    <t>Adriana Jara</t>
  </si>
  <si>
    <t>Textiles Vinueza</t>
  </si>
  <si>
    <t>Laura Romero</t>
  </si>
  <si>
    <t>Pacífico Tapia</t>
  </si>
  <si>
    <t>Nicolás Galeas</t>
  </si>
  <si>
    <t>Andrés Cueva</t>
  </si>
  <si>
    <t>Soluciones Ordoñez</t>
  </si>
  <si>
    <t>David Jara</t>
  </si>
  <si>
    <t>Soluciones Cueva</t>
  </si>
  <si>
    <t>Mónica Ponce</t>
  </si>
  <si>
    <t>Agro Córdova</t>
  </si>
  <si>
    <t>Servicios Aguirre</t>
  </si>
  <si>
    <t>David Lomas</t>
  </si>
  <si>
    <t>Importadora Rueda</t>
  </si>
  <si>
    <t>Elena Silva</t>
  </si>
  <si>
    <t>Nicolás Pérez</t>
  </si>
  <si>
    <t>Andina Garzón</t>
  </si>
  <si>
    <t>Paulina Silva</t>
  </si>
  <si>
    <t>Elena Torres</t>
  </si>
  <si>
    <t>Servicios Chávez</t>
  </si>
  <si>
    <t>Jorge Llagua</t>
  </si>
  <si>
    <t>Distribuciones Zambrano</t>
  </si>
  <si>
    <t>Distribuciones Villalba</t>
  </si>
  <si>
    <t>Patricia Romero</t>
  </si>
  <si>
    <t>Textiles Pérez</t>
  </si>
  <si>
    <t>Marcelo Chávez</t>
  </si>
  <si>
    <t>Rodrigo Ponce</t>
  </si>
  <si>
    <t>Alimentos Lema</t>
  </si>
  <si>
    <t>David Salazar</t>
  </si>
  <si>
    <t>Agro Aguirre</t>
  </si>
  <si>
    <t>producto_id</t>
  </si>
  <si>
    <t>producto</t>
  </si>
  <si>
    <t>categoria</t>
  </si>
  <si>
    <t>precio_usd</t>
  </si>
  <si>
    <t>Avena fresa 200g</t>
  </si>
  <si>
    <t>Avenas</t>
  </si>
  <si>
    <t>Avena manzana 400g</t>
  </si>
  <si>
    <t>Colada fresa 150g</t>
  </si>
  <si>
    <t>Coladas</t>
  </si>
  <si>
    <t>Colada maracuya 150g</t>
  </si>
  <si>
    <t>Sopa fideo &amp; pollo</t>
  </si>
  <si>
    <t>Sopas</t>
  </si>
  <si>
    <t>Sopa de letras</t>
  </si>
  <si>
    <t>Caldo de gallina 25g</t>
  </si>
  <si>
    <t>Caldos</t>
  </si>
  <si>
    <t>Colada maracuyá 250g</t>
  </si>
  <si>
    <t>Colada durazno 200g</t>
  </si>
  <si>
    <t>Colada tropical 200g</t>
  </si>
  <si>
    <t>Sopa de brocoli</t>
  </si>
  <si>
    <t>Sopa carne con verduras</t>
  </si>
  <si>
    <t>Sopa pollo deshidratada 50g</t>
  </si>
  <si>
    <t>Sopa tomate cremosa 55g</t>
  </si>
  <si>
    <t>Caldo de gallina 100g</t>
  </si>
  <si>
    <t>Caldo de carne 25g</t>
  </si>
  <si>
    <t>Caldo de costilla 25g</t>
  </si>
  <si>
    <t>Caldo de camarón 20g</t>
  </si>
  <si>
    <t>Caldo mixto 25g</t>
  </si>
  <si>
    <t>Arroz precocido 1kg</t>
  </si>
  <si>
    <t>Granos</t>
  </si>
  <si>
    <t>Lenteja 500g</t>
  </si>
  <si>
    <t>Frejol rojo 500g</t>
  </si>
  <si>
    <t>Chochos 450g</t>
  </si>
  <si>
    <t>Garbanzo 500g</t>
  </si>
  <si>
    <t>Atún en agua 140g</t>
  </si>
  <si>
    <t>Enlatados</t>
  </si>
  <si>
    <t>Atún en aceite 140g</t>
  </si>
  <si>
    <t>Sardina en tomate 125g</t>
  </si>
  <si>
    <t>Choclo en granos 300g</t>
  </si>
  <si>
    <t>Duraznos en almíbar 500g</t>
  </si>
  <si>
    <t>Galleta salada 12u</t>
  </si>
  <si>
    <t>Galletas</t>
  </si>
  <si>
    <t>Galleta integral 8u</t>
  </si>
  <si>
    <t>Galleta choco chips 80g</t>
  </si>
  <si>
    <t>Galleta avena 90g</t>
  </si>
  <si>
    <t>Galleta vainilla 100g</t>
  </si>
  <si>
    <t>Leche entera 1L</t>
  </si>
  <si>
    <t>Lácteos</t>
  </si>
  <si>
    <t>Leche deslactosada 1L</t>
  </si>
  <si>
    <t>Yogur fresa 1L</t>
  </si>
  <si>
    <t>Yogur durazno 1L</t>
  </si>
  <si>
    <t>Queso fresco 250g</t>
  </si>
  <si>
    <t>Aceite vegetal 1L</t>
  </si>
  <si>
    <t>Aceites</t>
  </si>
  <si>
    <t>Aceite de girasol 1L</t>
  </si>
  <si>
    <t>Aceite de oliva 500ml</t>
  </si>
  <si>
    <t>Aceite mezcla premium 900ml</t>
  </si>
  <si>
    <t>Puré de papa 125g</t>
  </si>
  <si>
    <t>Instantáneos</t>
  </si>
  <si>
    <t>Fideo espagueti 400g</t>
  </si>
  <si>
    <t>Pastas</t>
  </si>
  <si>
    <t>Fideo tornillo 400g</t>
  </si>
  <si>
    <t>Fideo tallarín 400g</t>
  </si>
  <si>
    <t>Pasta integral 400g</t>
  </si>
  <si>
    <t>Pasta con huevo 500g</t>
  </si>
  <si>
    <t>venta_id</t>
  </si>
  <si>
    <t>fecha</t>
  </si>
  <si>
    <t>cantidad</t>
  </si>
  <si>
    <t>precio_unitario</t>
  </si>
  <si>
    <t>total_usd</t>
  </si>
  <si>
    <t>2026-01-10</t>
  </si>
  <si>
    <t>2026-01-12</t>
  </si>
  <si>
    <t>2026-01-15</t>
  </si>
  <si>
    <t>2026-02-01</t>
  </si>
  <si>
    <t>2026-02-05</t>
  </si>
  <si>
    <t>2026-02-07</t>
  </si>
  <si>
    <t>2026-02-10</t>
  </si>
  <si>
    <t>2026-02-15</t>
  </si>
  <si>
    <t>2026-03-01</t>
  </si>
  <si>
    <t>2026-03-05</t>
  </si>
  <si>
    <t>descripcion</t>
  </si>
  <si>
    <t>formula_o_resultado</t>
  </si>
  <si>
    <t>Total ventas registradas</t>
  </si>
  <si>
    <t>Cantidad total de ventas</t>
  </si>
  <si>
    <t>Promedio por venta</t>
  </si>
  <si>
    <t>consulta_usuario</t>
  </si>
  <si>
    <t>respuesta_esperada</t>
  </si>
  <si>
    <t>¿Cuál es el producto más vendido?</t>
  </si>
  <si>
    <t>Consultar tabla Ventas y sumar por producto_id</t>
  </si>
  <si>
    <t>¿Qué cliente ha comprado más?</t>
  </si>
  <si>
    <t>Sumar ventas por cliente_id</t>
  </si>
  <si>
    <t>Dame el total de ventas</t>
  </si>
  <si>
    <t>Sumar columna total_usd</t>
  </si>
  <si>
    <t>Ventas del cliente Juan Pérez</t>
  </si>
  <si>
    <t>Filtrar cliente_id correspondiente</t>
  </si>
  <si>
    <t>Reporte general de ventas</t>
  </si>
  <si>
    <t>Generar resumen total, top cliente y top producto</t>
  </si>
  <si>
    <t>stock</t>
  </si>
  <si>
    <t>estado</t>
  </si>
  <si>
    <t>Pagado</t>
  </si>
  <si>
    <t>Inpaga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</si>
</sst>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2" borderId="0" xfId="0" applyFont="1" applyFill="1" applyAlignment="1"/>
    <xf numFmtId="164" fontId="1" fillId="2" borderId="0" xfId="0" applyNumberFormat="1" applyFont="1" applyFill="1" applyAlignment="1"/>
    <xf numFmtId="164" fontId="2" fillId="0" borderId="0" xfId="0" applyNumberFormat="1" applyFont="1" applyAlignme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opLeftCell="A331" workbookViewId="0"/>
  </sheetViews>
  <sheetFormatPr baseColWidth="10" defaultColWidth="14.44140625" defaultRowHeight="15" customHeight="1" x14ac:dyDescent="0.3"/>
  <cols>
    <col min="1" max="1" width="9.44140625" customWidth="1"/>
    <col min="2" max="2" width="20.88671875" customWidth="1"/>
    <col min="3" max="3" width="18.5546875" customWidth="1"/>
    <col min="4" max="4" width="24.109375" customWidth="1"/>
    <col min="5" max="5" width="12.5546875" customWidth="1"/>
    <col min="6" max="6" width="11.33203125" customWidth="1"/>
    <col min="7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4.4" x14ac:dyDescent="0.3">
      <c r="A2" s="1">
        <v>1</v>
      </c>
      <c r="B2" s="1" t="s">
        <v>6</v>
      </c>
      <c r="C2" s="1" t="s">
        <v>7</v>
      </c>
      <c r="D2" s="2" t="s">
        <v>8</v>
      </c>
      <c r="E2" s="1" t="s">
        <v>9</v>
      </c>
      <c r="F2" s="1" t="s">
        <v>10</v>
      </c>
    </row>
    <row r="3" spans="1:6" ht="14.4" x14ac:dyDescent="0.3">
      <c r="A3" s="1">
        <v>2</v>
      </c>
      <c r="B3" s="1" t="s">
        <v>11</v>
      </c>
      <c r="C3" s="1" t="s">
        <v>12</v>
      </c>
      <c r="D3" s="2" t="s">
        <v>13</v>
      </c>
      <c r="E3" s="1" t="s">
        <v>14</v>
      </c>
      <c r="F3" s="1" t="s">
        <v>15</v>
      </c>
    </row>
    <row r="4" spans="1:6" ht="14.4" x14ac:dyDescent="0.3">
      <c r="A4" s="1">
        <v>3</v>
      </c>
      <c r="B4" s="1" t="s">
        <v>16</v>
      </c>
      <c r="C4" s="1" t="s">
        <v>17</v>
      </c>
      <c r="D4" s="2" t="s">
        <v>18</v>
      </c>
      <c r="E4" s="1" t="s">
        <v>19</v>
      </c>
      <c r="F4" s="1" t="s">
        <v>10</v>
      </c>
    </row>
    <row r="5" spans="1:6" ht="14.4" x14ac:dyDescent="0.3">
      <c r="A5" s="1">
        <v>4</v>
      </c>
      <c r="B5" s="1" t="s">
        <v>20</v>
      </c>
      <c r="C5" s="1" t="s">
        <v>21</v>
      </c>
      <c r="D5" s="2" t="s">
        <v>22</v>
      </c>
      <c r="E5" s="1" t="s">
        <v>9</v>
      </c>
      <c r="F5" s="1" t="s">
        <v>23</v>
      </c>
    </row>
    <row r="6" spans="1:6" ht="14.4" x14ac:dyDescent="0.3">
      <c r="A6" s="1">
        <v>5</v>
      </c>
      <c r="B6" s="1" t="s">
        <v>24</v>
      </c>
      <c r="C6" s="1" t="s">
        <v>25</v>
      </c>
      <c r="D6" s="2" t="s">
        <v>26</v>
      </c>
      <c r="E6" s="1" t="s">
        <v>9</v>
      </c>
      <c r="F6" s="1" t="s">
        <v>23</v>
      </c>
    </row>
    <row r="7" spans="1:6" ht="14.4" x14ac:dyDescent="0.3">
      <c r="A7" s="3">
        <v>6</v>
      </c>
      <c r="B7" s="3" t="s">
        <v>27</v>
      </c>
      <c r="C7" s="3" t="s">
        <v>28</v>
      </c>
      <c r="D7" s="2">
        <f>593995978350</f>
        <v>593995978350</v>
      </c>
      <c r="E7" s="3" t="s">
        <v>9</v>
      </c>
      <c r="F7" s="3" t="s">
        <v>29</v>
      </c>
    </row>
    <row r="8" spans="1:6" ht="14.4" x14ac:dyDescent="0.3">
      <c r="A8" s="4">
        <v>7</v>
      </c>
      <c r="B8" s="5" t="s">
        <v>30</v>
      </c>
      <c r="C8" s="5" t="s">
        <v>31</v>
      </c>
      <c r="D8" s="6">
        <f>593991230145</f>
        <v>593991230145</v>
      </c>
      <c r="E8" s="5" t="s">
        <v>32</v>
      </c>
      <c r="F8" s="5" t="s">
        <v>10</v>
      </c>
    </row>
    <row r="9" spans="1:6" ht="14.4" x14ac:dyDescent="0.3">
      <c r="A9" s="4">
        <v>8</v>
      </c>
      <c r="B9" s="5" t="s">
        <v>33</v>
      </c>
      <c r="C9" s="5" t="s">
        <v>34</v>
      </c>
      <c r="D9" s="6">
        <f>593991874320</f>
        <v>593991874320</v>
      </c>
      <c r="E9" s="5" t="s">
        <v>35</v>
      </c>
      <c r="F9" s="5" t="s">
        <v>15</v>
      </c>
    </row>
    <row r="10" spans="1:6" ht="14.4" x14ac:dyDescent="0.3">
      <c r="A10" s="4">
        <v>9</v>
      </c>
      <c r="B10" s="5" t="s">
        <v>36</v>
      </c>
      <c r="C10" s="5" t="s">
        <v>37</v>
      </c>
      <c r="D10" s="6">
        <f>593992045678</f>
        <v>593992045678</v>
      </c>
      <c r="E10" s="5" t="s">
        <v>38</v>
      </c>
      <c r="F10" s="5" t="s">
        <v>29</v>
      </c>
    </row>
    <row r="11" spans="1:6" ht="14.4" x14ac:dyDescent="0.3">
      <c r="A11" s="4">
        <v>10</v>
      </c>
      <c r="B11" s="5" t="s">
        <v>39</v>
      </c>
      <c r="C11" s="5" t="s">
        <v>40</v>
      </c>
      <c r="D11" s="6">
        <f>593992118934</f>
        <v>593992118934</v>
      </c>
      <c r="E11" s="5" t="s">
        <v>41</v>
      </c>
      <c r="F11" s="5" t="s">
        <v>10</v>
      </c>
    </row>
    <row r="12" spans="1:6" ht="14.4" x14ac:dyDescent="0.3">
      <c r="A12" s="4">
        <v>11</v>
      </c>
      <c r="B12" s="5" t="s">
        <v>42</v>
      </c>
      <c r="C12" s="5" t="s">
        <v>43</v>
      </c>
      <c r="D12" s="6">
        <f>593992267541</f>
        <v>593992267541</v>
      </c>
      <c r="E12" s="5" t="s">
        <v>44</v>
      </c>
      <c r="F12" s="5" t="s">
        <v>15</v>
      </c>
    </row>
    <row r="13" spans="1:6" ht="14.4" x14ac:dyDescent="0.3">
      <c r="A13" s="4">
        <v>12</v>
      </c>
      <c r="B13" s="5" t="s">
        <v>45</v>
      </c>
      <c r="C13" s="5" t="s">
        <v>46</v>
      </c>
      <c r="D13" s="6">
        <f>593992394756</f>
        <v>593992394756</v>
      </c>
      <c r="E13" s="5" t="s">
        <v>32</v>
      </c>
      <c r="F13" s="5" t="s">
        <v>23</v>
      </c>
    </row>
    <row r="14" spans="1:6" ht="14.4" x14ac:dyDescent="0.3">
      <c r="A14" s="4">
        <v>13</v>
      </c>
      <c r="B14" s="5" t="s">
        <v>47</v>
      </c>
      <c r="C14" s="5" t="s">
        <v>48</v>
      </c>
      <c r="D14" s="6">
        <f>593992487610</f>
        <v>593992487610</v>
      </c>
      <c r="E14" s="5" t="s">
        <v>32</v>
      </c>
      <c r="F14" s="5" t="s">
        <v>29</v>
      </c>
    </row>
    <row r="15" spans="1:6" ht="14.4" x14ac:dyDescent="0.3">
      <c r="A15" s="4">
        <v>14</v>
      </c>
      <c r="B15" s="5" t="s">
        <v>49</v>
      </c>
      <c r="C15" s="5" t="s">
        <v>50</v>
      </c>
      <c r="D15" s="6">
        <f>593992590431</f>
        <v>593992590431</v>
      </c>
      <c r="E15" s="5" t="s">
        <v>51</v>
      </c>
      <c r="F15" s="5" t="s">
        <v>15</v>
      </c>
    </row>
    <row r="16" spans="1:6" ht="14.4" x14ac:dyDescent="0.3">
      <c r="A16" s="4">
        <v>15</v>
      </c>
      <c r="B16" s="5" t="s">
        <v>52</v>
      </c>
      <c r="C16" s="5" t="s">
        <v>53</v>
      </c>
      <c r="D16" s="6">
        <f>593992664389</f>
        <v>593992664389</v>
      </c>
      <c r="E16" s="5" t="s">
        <v>9</v>
      </c>
      <c r="F16" s="5" t="s">
        <v>23</v>
      </c>
    </row>
    <row r="17" spans="1:6" ht="14.4" x14ac:dyDescent="0.3">
      <c r="A17" s="4">
        <v>16</v>
      </c>
      <c r="B17" s="5" t="s">
        <v>54</v>
      </c>
      <c r="C17" s="5" t="s">
        <v>55</v>
      </c>
      <c r="D17" s="6">
        <f>593992778904</f>
        <v>593992778904</v>
      </c>
      <c r="E17" s="5" t="s">
        <v>56</v>
      </c>
      <c r="F17" s="5" t="s">
        <v>10</v>
      </c>
    </row>
    <row r="18" spans="1:6" ht="14.4" x14ac:dyDescent="0.3">
      <c r="A18" s="4">
        <v>17</v>
      </c>
      <c r="B18" s="5" t="s">
        <v>57</v>
      </c>
      <c r="C18" s="5" t="s">
        <v>58</v>
      </c>
      <c r="D18" s="6">
        <f>593992809175</f>
        <v>593992809175</v>
      </c>
      <c r="E18" s="5" t="s">
        <v>59</v>
      </c>
      <c r="F18" s="5" t="s">
        <v>29</v>
      </c>
    </row>
    <row r="19" spans="1:6" ht="14.4" x14ac:dyDescent="0.3">
      <c r="A19" s="4">
        <v>18</v>
      </c>
      <c r="B19" s="5" t="s">
        <v>60</v>
      </c>
      <c r="C19" s="5" t="s">
        <v>61</v>
      </c>
      <c r="D19" s="6">
        <f>593992935610</f>
        <v>593992935610</v>
      </c>
      <c r="E19" s="5" t="s">
        <v>35</v>
      </c>
      <c r="F19" s="5" t="s">
        <v>23</v>
      </c>
    </row>
    <row r="20" spans="1:6" ht="14.4" x14ac:dyDescent="0.3">
      <c r="A20" s="4">
        <v>19</v>
      </c>
      <c r="B20" s="5" t="s">
        <v>62</v>
      </c>
      <c r="C20" s="5" t="s">
        <v>63</v>
      </c>
      <c r="D20" s="6">
        <f>593993046512</f>
        <v>593993046512</v>
      </c>
      <c r="E20" s="5" t="s">
        <v>9</v>
      </c>
      <c r="F20" s="5" t="s">
        <v>10</v>
      </c>
    </row>
    <row r="21" spans="1:6" ht="15.75" customHeight="1" x14ac:dyDescent="0.3">
      <c r="A21" s="4">
        <v>20</v>
      </c>
      <c r="B21" s="5" t="s">
        <v>64</v>
      </c>
      <c r="C21" s="5" t="s">
        <v>65</v>
      </c>
      <c r="D21" s="6">
        <f>593993119845</f>
        <v>593993119845</v>
      </c>
      <c r="E21" s="5" t="s">
        <v>66</v>
      </c>
      <c r="F21" s="5" t="s">
        <v>15</v>
      </c>
    </row>
    <row r="22" spans="1:6" ht="15.75" customHeight="1" x14ac:dyDescent="0.3">
      <c r="A22" s="4">
        <v>21</v>
      </c>
      <c r="B22" s="5" t="s">
        <v>67</v>
      </c>
      <c r="C22" s="5" t="s">
        <v>68</v>
      </c>
      <c r="D22" s="6">
        <f>593993224067</f>
        <v>593993224067</v>
      </c>
      <c r="E22" s="5" t="s">
        <v>41</v>
      </c>
      <c r="F22" s="5" t="s">
        <v>29</v>
      </c>
    </row>
    <row r="23" spans="1:6" ht="15.75" customHeight="1" x14ac:dyDescent="0.3">
      <c r="A23" s="4">
        <v>22</v>
      </c>
      <c r="B23" s="5" t="s">
        <v>69</v>
      </c>
      <c r="C23" s="5" t="s">
        <v>70</v>
      </c>
      <c r="D23" s="6">
        <f>593993395480</f>
        <v>593993395480</v>
      </c>
      <c r="E23" s="5" t="s">
        <v>38</v>
      </c>
      <c r="F23" s="5" t="s">
        <v>23</v>
      </c>
    </row>
    <row r="24" spans="1:6" ht="15.75" customHeight="1" x14ac:dyDescent="0.3">
      <c r="A24" s="4">
        <v>23</v>
      </c>
      <c r="B24" s="5" t="s">
        <v>71</v>
      </c>
      <c r="C24" s="5" t="s">
        <v>72</v>
      </c>
      <c r="D24" s="6">
        <f>593993406951</f>
        <v>593993406951</v>
      </c>
      <c r="E24" s="5" t="s">
        <v>14</v>
      </c>
      <c r="F24" s="5" t="s">
        <v>10</v>
      </c>
    </row>
    <row r="25" spans="1:6" ht="15.75" customHeight="1" x14ac:dyDescent="0.3">
      <c r="A25" s="4">
        <v>24</v>
      </c>
      <c r="B25" s="5" t="s">
        <v>73</v>
      </c>
      <c r="C25" s="5" t="s">
        <v>74</v>
      </c>
      <c r="D25" s="6">
        <f>593993578420</f>
        <v>593993578420</v>
      </c>
      <c r="E25" s="5" t="s">
        <v>32</v>
      </c>
      <c r="F25" s="5" t="s">
        <v>23</v>
      </c>
    </row>
    <row r="26" spans="1:6" ht="15.75" customHeight="1" x14ac:dyDescent="0.3">
      <c r="A26" s="4">
        <v>25</v>
      </c>
      <c r="B26" s="5" t="s">
        <v>75</v>
      </c>
      <c r="C26" s="5" t="s">
        <v>76</v>
      </c>
      <c r="D26" s="6">
        <f>593993648712</f>
        <v>593993648712</v>
      </c>
      <c r="E26" s="5" t="s">
        <v>35</v>
      </c>
      <c r="F26" s="5" t="s">
        <v>15</v>
      </c>
    </row>
    <row r="27" spans="1:6" ht="15.75" customHeight="1" x14ac:dyDescent="0.3">
      <c r="A27" s="4">
        <v>26</v>
      </c>
      <c r="B27" s="5" t="s">
        <v>77</v>
      </c>
      <c r="C27" s="5" t="s">
        <v>78</v>
      </c>
      <c r="D27" s="6">
        <f>593993799064</f>
        <v>593993799064</v>
      </c>
      <c r="E27" s="5" t="s">
        <v>9</v>
      </c>
      <c r="F27" s="5" t="s">
        <v>10</v>
      </c>
    </row>
    <row r="28" spans="1:6" ht="15.75" customHeight="1" x14ac:dyDescent="0.3">
      <c r="A28" s="4">
        <v>27</v>
      </c>
      <c r="B28" s="5" t="s">
        <v>79</v>
      </c>
      <c r="C28" s="5" t="s">
        <v>80</v>
      </c>
      <c r="D28" s="6">
        <f>593993882476</f>
        <v>593993882476</v>
      </c>
      <c r="E28" s="5" t="s">
        <v>19</v>
      </c>
      <c r="F28" s="5" t="s">
        <v>29</v>
      </c>
    </row>
    <row r="29" spans="1:6" ht="15.75" customHeight="1" x14ac:dyDescent="0.3">
      <c r="A29" s="4">
        <v>28</v>
      </c>
      <c r="B29" s="5" t="s">
        <v>81</v>
      </c>
      <c r="C29" s="5" t="s">
        <v>82</v>
      </c>
      <c r="D29" s="6">
        <f>593993975801</f>
        <v>593993975801</v>
      </c>
      <c r="E29" s="5" t="s">
        <v>59</v>
      </c>
      <c r="F29" s="5" t="s">
        <v>15</v>
      </c>
    </row>
    <row r="30" spans="1:6" ht="15.75" customHeight="1" x14ac:dyDescent="0.3">
      <c r="A30" s="4">
        <v>29</v>
      </c>
      <c r="B30" s="5" t="s">
        <v>83</v>
      </c>
      <c r="C30" s="5" t="s">
        <v>84</v>
      </c>
      <c r="D30" s="6">
        <f>593994046933</f>
        <v>593994046933</v>
      </c>
      <c r="E30" s="5" t="s">
        <v>9</v>
      </c>
      <c r="F30" s="5" t="s">
        <v>23</v>
      </c>
    </row>
    <row r="31" spans="1:6" ht="15.75" customHeight="1" x14ac:dyDescent="0.3">
      <c r="A31" s="4">
        <v>30</v>
      </c>
      <c r="B31" s="5" t="s">
        <v>85</v>
      </c>
      <c r="C31" s="5" t="s">
        <v>86</v>
      </c>
      <c r="D31" s="6">
        <f>593994137205</f>
        <v>593994137205</v>
      </c>
      <c r="E31" s="5" t="s">
        <v>66</v>
      </c>
      <c r="F31" s="5" t="s">
        <v>29</v>
      </c>
    </row>
    <row r="32" spans="1:6" ht="15.75" customHeight="1" x14ac:dyDescent="0.3">
      <c r="A32" s="4">
        <v>31</v>
      </c>
      <c r="B32" s="5" t="s">
        <v>87</v>
      </c>
      <c r="C32" s="5" t="s">
        <v>88</v>
      </c>
      <c r="D32" s="6">
        <f>593994268517</f>
        <v>593994268517</v>
      </c>
      <c r="E32" s="5" t="s">
        <v>35</v>
      </c>
      <c r="F32" s="5" t="s">
        <v>10</v>
      </c>
    </row>
    <row r="33" spans="1:6" ht="15.75" customHeight="1" x14ac:dyDescent="0.3">
      <c r="A33" s="4">
        <v>32</v>
      </c>
      <c r="B33" s="5" t="s">
        <v>89</v>
      </c>
      <c r="C33" s="5" t="s">
        <v>90</v>
      </c>
      <c r="D33" s="6">
        <f>593994359860</f>
        <v>593994359860</v>
      </c>
      <c r="E33" s="5" t="s">
        <v>44</v>
      </c>
      <c r="F33" s="5" t="s">
        <v>15</v>
      </c>
    </row>
    <row r="34" spans="1:6" ht="15.75" customHeight="1" x14ac:dyDescent="0.3">
      <c r="A34" s="4">
        <v>33</v>
      </c>
      <c r="B34" s="5" t="s">
        <v>91</v>
      </c>
      <c r="C34" s="5" t="s">
        <v>92</v>
      </c>
      <c r="D34" s="6">
        <f>593994420639</f>
        <v>593994420639</v>
      </c>
      <c r="E34" s="5" t="s">
        <v>32</v>
      </c>
      <c r="F34" s="5" t="s">
        <v>23</v>
      </c>
    </row>
    <row r="35" spans="1:6" ht="15.75" customHeight="1" x14ac:dyDescent="0.3">
      <c r="A35" s="4">
        <v>34</v>
      </c>
      <c r="B35" s="5" t="s">
        <v>93</v>
      </c>
      <c r="C35" s="5" t="s">
        <v>94</v>
      </c>
      <c r="D35" s="6">
        <f>593994586210</f>
        <v>593994586210</v>
      </c>
      <c r="E35" s="5" t="s">
        <v>19</v>
      </c>
      <c r="F35" s="5" t="s">
        <v>10</v>
      </c>
    </row>
    <row r="36" spans="1:6" ht="15.75" customHeight="1" x14ac:dyDescent="0.3">
      <c r="A36" s="4">
        <v>35</v>
      </c>
      <c r="B36" s="5" t="s">
        <v>95</v>
      </c>
      <c r="C36" s="5" t="s">
        <v>96</v>
      </c>
      <c r="D36" s="6">
        <f>593994639572</f>
        <v>593994639572</v>
      </c>
      <c r="E36" s="5" t="s">
        <v>38</v>
      </c>
      <c r="F36" s="5" t="s">
        <v>29</v>
      </c>
    </row>
    <row r="37" spans="1:6" ht="15.75" customHeight="1" x14ac:dyDescent="0.3">
      <c r="A37" s="4">
        <v>36</v>
      </c>
      <c r="B37" s="5" t="s">
        <v>97</v>
      </c>
      <c r="C37" s="5" t="s">
        <v>98</v>
      </c>
      <c r="D37" s="6">
        <f>593994785103</f>
        <v>593994785103</v>
      </c>
      <c r="E37" s="5" t="s">
        <v>9</v>
      </c>
      <c r="F37" s="5" t="s">
        <v>15</v>
      </c>
    </row>
    <row r="38" spans="1:6" ht="15.75" customHeight="1" x14ac:dyDescent="0.3">
      <c r="A38" s="4">
        <v>37</v>
      </c>
      <c r="B38" s="5" t="s">
        <v>99</v>
      </c>
      <c r="C38" s="5" t="s">
        <v>100</v>
      </c>
      <c r="D38" s="6">
        <f>593994890476</f>
        <v>593994890476</v>
      </c>
      <c r="E38" s="5" t="s">
        <v>9</v>
      </c>
      <c r="F38" s="5" t="s">
        <v>23</v>
      </c>
    </row>
    <row r="39" spans="1:6" ht="15.75" customHeight="1" x14ac:dyDescent="0.3">
      <c r="A39" s="4">
        <v>38</v>
      </c>
      <c r="B39" s="5" t="s">
        <v>101</v>
      </c>
      <c r="C39" s="5" t="s">
        <v>102</v>
      </c>
      <c r="D39" s="6">
        <f>593994965230</f>
        <v>593994965230</v>
      </c>
      <c r="E39" s="5" t="s">
        <v>59</v>
      </c>
      <c r="F39" s="5" t="s">
        <v>10</v>
      </c>
    </row>
    <row r="40" spans="1:6" ht="15.75" customHeight="1" x14ac:dyDescent="0.3">
      <c r="A40" s="4">
        <v>39</v>
      </c>
      <c r="B40" s="5" t="s">
        <v>103</v>
      </c>
      <c r="C40" s="5" t="s">
        <v>104</v>
      </c>
      <c r="D40" s="6">
        <f>593995036749</f>
        <v>593995036749</v>
      </c>
      <c r="E40" s="5" t="s">
        <v>41</v>
      </c>
      <c r="F40" s="5" t="s">
        <v>29</v>
      </c>
    </row>
    <row r="41" spans="1:6" ht="15.75" customHeight="1" x14ac:dyDescent="0.3">
      <c r="A41" s="4">
        <v>40</v>
      </c>
      <c r="B41" s="5" t="s">
        <v>105</v>
      </c>
      <c r="C41" s="5" t="s">
        <v>106</v>
      </c>
      <c r="D41" s="6">
        <f>593995187064</f>
        <v>593995187064</v>
      </c>
      <c r="E41" s="5" t="s">
        <v>56</v>
      </c>
      <c r="F41" s="5" t="s">
        <v>15</v>
      </c>
    </row>
    <row r="42" spans="1:6" ht="15.75" customHeight="1" x14ac:dyDescent="0.3">
      <c r="A42" s="4">
        <v>41</v>
      </c>
      <c r="B42" s="5" t="s">
        <v>107</v>
      </c>
      <c r="C42" s="5" t="s">
        <v>108</v>
      </c>
      <c r="D42" s="6">
        <f>593995296410</f>
        <v>593995296410</v>
      </c>
      <c r="E42" s="5" t="s">
        <v>32</v>
      </c>
      <c r="F42" s="5" t="s">
        <v>10</v>
      </c>
    </row>
    <row r="43" spans="1:6" ht="15.75" customHeight="1" x14ac:dyDescent="0.3">
      <c r="A43" s="4">
        <v>42</v>
      </c>
      <c r="B43" s="5" t="s">
        <v>109</v>
      </c>
      <c r="C43" s="5" t="s">
        <v>110</v>
      </c>
      <c r="D43" s="6">
        <f>593995304876</f>
        <v>593995304876</v>
      </c>
      <c r="E43" s="5" t="s">
        <v>9</v>
      </c>
      <c r="F43" s="5" t="s">
        <v>29</v>
      </c>
    </row>
    <row r="44" spans="1:6" ht="15.75" customHeight="1" x14ac:dyDescent="0.3">
      <c r="A44" s="4">
        <v>43</v>
      </c>
      <c r="B44" s="5" t="s">
        <v>111</v>
      </c>
      <c r="C44" s="5" t="s">
        <v>112</v>
      </c>
      <c r="D44" s="6">
        <f>593995468230</f>
        <v>593995468230</v>
      </c>
      <c r="E44" s="5" t="s">
        <v>35</v>
      </c>
      <c r="F44" s="5" t="s">
        <v>10</v>
      </c>
    </row>
    <row r="45" spans="1:6" ht="15.75" customHeight="1" x14ac:dyDescent="0.3">
      <c r="A45" s="4">
        <v>44</v>
      </c>
      <c r="B45" s="5" t="s">
        <v>113</v>
      </c>
      <c r="C45" s="5" t="s">
        <v>114</v>
      </c>
      <c r="D45" s="6">
        <f>593995579412</f>
        <v>593995579412</v>
      </c>
      <c r="E45" s="5" t="s">
        <v>66</v>
      </c>
      <c r="F45" s="5" t="s">
        <v>15</v>
      </c>
    </row>
    <row r="46" spans="1:6" ht="15.75" customHeight="1" x14ac:dyDescent="0.3">
      <c r="A46" s="4">
        <v>45</v>
      </c>
      <c r="B46" s="5" t="s">
        <v>115</v>
      </c>
      <c r="C46" s="5" t="s">
        <v>116</v>
      </c>
      <c r="D46" s="6">
        <f>593995624803</f>
        <v>593995624803</v>
      </c>
      <c r="E46" s="5" t="s">
        <v>9</v>
      </c>
      <c r="F46" s="5" t="s">
        <v>23</v>
      </c>
    </row>
    <row r="47" spans="1:6" ht="15.75" customHeight="1" x14ac:dyDescent="0.3">
      <c r="A47" s="4">
        <v>46</v>
      </c>
      <c r="B47" s="5" t="s">
        <v>117</v>
      </c>
      <c r="C47" s="5" t="s">
        <v>118</v>
      </c>
      <c r="D47" s="6">
        <f>593995735018</f>
        <v>593995735018</v>
      </c>
      <c r="E47" s="5" t="s">
        <v>38</v>
      </c>
      <c r="F47" s="5" t="s">
        <v>29</v>
      </c>
    </row>
    <row r="48" spans="1:6" ht="15.75" customHeight="1" x14ac:dyDescent="0.3">
      <c r="A48" s="4">
        <v>47</v>
      </c>
      <c r="B48" s="5" t="s">
        <v>119</v>
      </c>
      <c r="C48" s="5" t="s">
        <v>120</v>
      </c>
      <c r="D48" s="6">
        <f>593995846207</f>
        <v>593995846207</v>
      </c>
      <c r="E48" s="5" t="s">
        <v>121</v>
      </c>
      <c r="F48" s="5" t="s">
        <v>10</v>
      </c>
    </row>
    <row r="49" spans="1:6" ht="15.75" customHeight="1" x14ac:dyDescent="0.3">
      <c r="A49" s="4">
        <v>48</v>
      </c>
      <c r="B49" s="5" t="s">
        <v>122</v>
      </c>
      <c r="C49" s="5" t="s">
        <v>123</v>
      </c>
      <c r="D49" s="6">
        <f>593995934610</f>
        <v>593995934610</v>
      </c>
      <c r="E49" s="5" t="s">
        <v>51</v>
      </c>
      <c r="F49" s="5" t="s">
        <v>15</v>
      </c>
    </row>
    <row r="50" spans="1:6" ht="15.75" customHeight="1" x14ac:dyDescent="0.3">
      <c r="A50" s="4">
        <v>49</v>
      </c>
      <c r="B50" s="5" t="s">
        <v>124</v>
      </c>
      <c r="C50" s="5" t="s">
        <v>125</v>
      </c>
      <c r="D50" s="6">
        <f>593996045732</f>
        <v>593996045732</v>
      </c>
      <c r="E50" s="5" t="s">
        <v>44</v>
      </c>
      <c r="F50" s="5" t="s">
        <v>23</v>
      </c>
    </row>
    <row r="51" spans="1:6" ht="15.75" customHeight="1" x14ac:dyDescent="0.3">
      <c r="A51" s="4">
        <v>50</v>
      </c>
      <c r="B51" s="5" t="s">
        <v>126</v>
      </c>
      <c r="C51" s="5" t="s">
        <v>127</v>
      </c>
      <c r="D51" s="6">
        <f>593996154809</f>
        <v>593996154809</v>
      </c>
      <c r="E51" s="5" t="s">
        <v>66</v>
      </c>
      <c r="F51" s="5" t="s">
        <v>29</v>
      </c>
    </row>
    <row r="52" spans="1:6" ht="15.75" customHeight="1" x14ac:dyDescent="0.3">
      <c r="A52" s="4">
        <v>51</v>
      </c>
      <c r="B52" s="5" t="s">
        <v>128</v>
      </c>
      <c r="C52" s="5" t="s">
        <v>129</v>
      </c>
      <c r="D52" s="6">
        <f>593997652745</f>
        <v>593997652745</v>
      </c>
      <c r="E52" s="5" t="s">
        <v>19</v>
      </c>
      <c r="F52" s="5" t="s">
        <v>10</v>
      </c>
    </row>
    <row r="53" spans="1:6" ht="15.75" customHeight="1" x14ac:dyDescent="0.3">
      <c r="A53" s="4">
        <v>52</v>
      </c>
      <c r="B53" s="5" t="s">
        <v>130</v>
      </c>
      <c r="C53" s="5" t="s">
        <v>131</v>
      </c>
      <c r="D53" s="6">
        <f>593979821666</f>
        <v>593979821666</v>
      </c>
      <c r="E53" s="5" t="s">
        <v>9</v>
      </c>
      <c r="F53" s="5" t="s">
        <v>23</v>
      </c>
    </row>
    <row r="54" spans="1:6" ht="15.75" customHeight="1" x14ac:dyDescent="0.3">
      <c r="A54" s="4">
        <v>53</v>
      </c>
      <c r="B54" s="5" t="s">
        <v>132</v>
      </c>
      <c r="C54" s="5" t="s">
        <v>133</v>
      </c>
      <c r="D54" s="6">
        <f>593952566734</f>
        <v>593952566734</v>
      </c>
      <c r="E54" s="5" t="s">
        <v>9</v>
      </c>
      <c r="F54" s="5" t="s">
        <v>15</v>
      </c>
    </row>
    <row r="55" spans="1:6" ht="15.75" customHeight="1" x14ac:dyDescent="0.3">
      <c r="A55" s="4">
        <v>54</v>
      </c>
      <c r="B55" s="5" t="s">
        <v>134</v>
      </c>
      <c r="C55" s="5" t="s">
        <v>135</v>
      </c>
      <c r="D55" s="6">
        <f>593958496860</f>
        <v>593958496860</v>
      </c>
      <c r="E55" s="5" t="s">
        <v>44</v>
      </c>
      <c r="F55" s="5" t="s">
        <v>29</v>
      </c>
    </row>
    <row r="56" spans="1:6" ht="15.75" customHeight="1" x14ac:dyDescent="0.3">
      <c r="A56" s="4">
        <v>55</v>
      </c>
      <c r="B56" s="5" t="s">
        <v>136</v>
      </c>
      <c r="C56" s="5" t="s">
        <v>137</v>
      </c>
      <c r="D56" s="6">
        <f>593948567121</f>
        <v>593948567121</v>
      </c>
      <c r="E56" s="5" t="s">
        <v>9</v>
      </c>
      <c r="F56" s="5" t="s">
        <v>23</v>
      </c>
    </row>
    <row r="57" spans="1:6" ht="15.75" customHeight="1" x14ac:dyDescent="0.3">
      <c r="A57" s="4">
        <v>56</v>
      </c>
      <c r="B57" s="5" t="s">
        <v>138</v>
      </c>
      <c r="C57" s="5" t="s">
        <v>139</v>
      </c>
      <c r="D57" s="6">
        <f>593938177863</f>
        <v>593938177863</v>
      </c>
      <c r="E57" s="5" t="s">
        <v>38</v>
      </c>
      <c r="F57" s="5" t="s">
        <v>23</v>
      </c>
    </row>
    <row r="58" spans="1:6" ht="15.75" customHeight="1" x14ac:dyDescent="0.3">
      <c r="A58" s="4">
        <v>57</v>
      </c>
      <c r="B58" s="5" t="s">
        <v>140</v>
      </c>
      <c r="C58" s="5" t="s">
        <v>141</v>
      </c>
      <c r="D58" s="6">
        <f>593937198224</f>
        <v>593937198224</v>
      </c>
      <c r="E58" s="5" t="s">
        <v>59</v>
      </c>
      <c r="F58" s="5" t="s">
        <v>29</v>
      </c>
    </row>
    <row r="59" spans="1:6" ht="15.75" customHeight="1" x14ac:dyDescent="0.3">
      <c r="A59" s="4">
        <v>58</v>
      </c>
      <c r="B59" s="5" t="s">
        <v>142</v>
      </c>
      <c r="C59" s="5" t="s">
        <v>143</v>
      </c>
      <c r="D59" s="6">
        <f>593929059360</f>
        <v>593929059360</v>
      </c>
      <c r="E59" s="5" t="s">
        <v>66</v>
      </c>
      <c r="F59" s="5" t="s">
        <v>29</v>
      </c>
    </row>
    <row r="60" spans="1:6" ht="15.75" customHeight="1" x14ac:dyDescent="0.3">
      <c r="A60" s="4">
        <v>59</v>
      </c>
      <c r="B60" s="5" t="s">
        <v>144</v>
      </c>
      <c r="C60" s="5" t="s">
        <v>145</v>
      </c>
      <c r="D60" s="6">
        <f>593949434706</f>
        <v>593949434706</v>
      </c>
      <c r="E60" s="5" t="s">
        <v>44</v>
      </c>
      <c r="F60" s="5" t="s">
        <v>23</v>
      </c>
    </row>
    <row r="61" spans="1:6" ht="15.75" customHeight="1" x14ac:dyDescent="0.3">
      <c r="A61" s="4">
        <v>60</v>
      </c>
      <c r="B61" s="5" t="s">
        <v>146</v>
      </c>
      <c r="C61" s="5" t="s">
        <v>147</v>
      </c>
      <c r="D61" s="6">
        <f>593946464379</f>
        <v>593946464379</v>
      </c>
      <c r="E61" s="5" t="s">
        <v>9</v>
      </c>
      <c r="F61" s="5" t="s">
        <v>10</v>
      </c>
    </row>
    <row r="62" spans="1:6" ht="15.75" customHeight="1" x14ac:dyDescent="0.3">
      <c r="A62" s="4">
        <v>61</v>
      </c>
      <c r="B62" s="5" t="s">
        <v>148</v>
      </c>
      <c r="C62" s="5" t="s">
        <v>149</v>
      </c>
      <c r="D62" s="6">
        <f>593984738621</f>
        <v>593984738621</v>
      </c>
      <c r="E62" s="5" t="s">
        <v>51</v>
      </c>
      <c r="F62" s="5" t="s">
        <v>15</v>
      </c>
    </row>
    <row r="63" spans="1:6" ht="15.75" customHeight="1" x14ac:dyDescent="0.3">
      <c r="A63" s="4">
        <v>62</v>
      </c>
      <c r="B63" s="5" t="s">
        <v>150</v>
      </c>
      <c r="C63" s="5" t="s">
        <v>151</v>
      </c>
      <c r="D63" s="6">
        <f>593991648740</f>
        <v>593991648740</v>
      </c>
      <c r="E63" s="5" t="s">
        <v>9</v>
      </c>
      <c r="F63" s="5" t="s">
        <v>23</v>
      </c>
    </row>
    <row r="64" spans="1:6" ht="15.75" customHeight="1" x14ac:dyDescent="0.3">
      <c r="A64" s="4">
        <v>63</v>
      </c>
      <c r="B64" s="5" t="s">
        <v>152</v>
      </c>
      <c r="C64" s="5" t="s">
        <v>153</v>
      </c>
      <c r="D64" s="6">
        <f>593933311816</f>
        <v>593933311816</v>
      </c>
      <c r="E64" s="5" t="s">
        <v>9</v>
      </c>
      <c r="F64" s="5" t="s">
        <v>23</v>
      </c>
    </row>
    <row r="65" spans="1:6" ht="15.75" customHeight="1" x14ac:dyDescent="0.3">
      <c r="A65" s="4">
        <v>64</v>
      </c>
      <c r="B65" s="5" t="s">
        <v>154</v>
      </c>
      <c r="C65" s="5" t="s">
        <v>155</v>
      </c>
      <c r="D65" s="6">
        <f>593988634631</f>
        <v>593988634631</v>
      </c>
      <c r="E65" s="5" t="s">
        <v>44</v>
      </c>
      <c r="F65" s="5" t="s">
        <v>23</v>
      </c>
    </row>
    <row r="66" spans="1:6" ht="15.75" customHeight="1" x14ac:dyDescent="0.3">
      <c r="A66" s="4">
        <v>65</v>
      </c>
      <c r="B66" s="5" t="s">
        <v>156</v>
      </c>
      <c r="C66" s="5" t="s">
        <v>157</v>
      </c>
      <c r="D66" s="6">
        <f>593951278271</f>
        <v>593951278271</v>
      </c>
      <c r="E66" s="5" t="s">
        <v>38</v>
      </c>
      <c r="F66" s="5" t="s">
        <v>23</v>
      </c>
    </row>
    <row r="67" spans="1:6" ht="15.75" customHeight="1" x14ac:dyDescent="0.3">
      <c r="A67" s="4">
        <v>66</v>
      </c>
      <c r="B67" s="5" t="s">
        <v>158</v>
      </c>
      <c r="C67" s="5" t="s">
        <v>159</v>
      </c>
      <c r="D67" s="6">
        <f>593932766740</f>
        <v>593932766740</v>
      </c>
      <c r="E67" s="5" t="s">
        <v>9</v>
      </c>
      <c r="F67" s="5" t="s">
        <v>23</v>
      </c>
    </row>
    <row r="68" spans="1:6" ht="15.75" customHeight="1" x14ac:dyDescent="0.3">
      <c r="A68" s="4">
        <v>67</v>
      </c>
      <c r="B68" s="5" t="s">
        <v>160</v>
      </c>
      <c r="C68" s="5" t="s">
        <v>161</v>
      </c>
      <c r="D68" s="6">
        <f>593962916041</f>
        <v>593962916041</v>
      </c>
      <c r="E68" s="5" t="s">
        <v>44</v>
      </c>
      <c r="F68" s="5" t="s">
        <v>10</v>
      </c>
    </row>
    <row r="69" spans="1:6" ht="15.75" customHeight="1" x14ac:dyDescent="0.3">
      <c r="A69" s="4">
        <v>68</v>
      </c>
      <c r="B69" s="5" t="s">
        <v>162</v>
      </c>
      <c r="C69" s="5" t="s">
        <v>163</v>
      </c>
      <c r="D69" s="6">
        <f>593961546255</f>
        <v>593961546255</v>
      </c>
      <c r="E69" s="5" t="s">
        <v>44</v>
      </c>
      <c r="F69" s="5" t="s">
        <v>15</v>
      </c>
    </row>
    <row r="70" spans="1:6" ht="15.75" customHeight="1" x14ac:dyDescent="0.3">
      <c r="A70" s="4">
        <v>69</v>
      </c>
      <c r="B70" s="5" t="s">
        <v>164</v>
      </c>
      <c r="C70" s="5" t="s">
        <v>165</v>
      </c>
      <c r="D70" s="6">
        <f>593994944901</f>
        <v>593994944901</v>
      </c>
      <c r="E70" s="5" t="s">
        <v>121</v>
      </c>
      <c r="F70" s="5" t="s">
        <v>29</v>
      </c>
    </row>
    <row r="71" spans="1:6" ht="15.75" customHeight="1" x14ac:dyDescent="0.3">
      <c r="A71" s="4">
        <v>70</v>
      </c>
      <c r="B71" s="5" t="s">
        <v>166</v>
      </c>
      <c r="C71" s="5" t="s">
        <v>167</v>
      </c>
      <c r="D71" s="6">
        <f>593968874480</f>
        <v>593968874480</v>
      </c>
      <c r="E71" s="5" t="s">
        <v>59</v>
      </c>
      <c r="F71" s="5" t="s">
        <v>10</v>
      </c>
    </row>
    <row r="72" spans="1:6" ht="15.75" customHeight="1" x14ac:dyDescent="0.3">
      <c r="A72" s="4">
        <v>71</v>
      </c>
      <c r="B72" s="5" t="s">
        <v>168</v>
      </c>
      <c r="C72" s="5" t="s">
        <v>169</v>
      </c>
      <c r="D72" s="6">
        <f>593995901887</f>
        <v>593995901887</v>
      </c>
      <c r="E72" s="5" t="s">
        <v>32</v>
      </c>
      <c r="F72" s="5" t="s">
        <v>15</v>
      </c>
    </row>
    <row r="73" spans="1:6" ht="15.75" customHeight="1" x14ac:dyDescent="0.3">
      <c r="A73" s="4">
        <v>72</v>
      </c>
      <c r="B73" s="5" t="s">
        <v>170</v>
      </c>
      <c r="C73" s="5" t="s">
        <v>171</v>
      </c>
      <c r="D73" s="6">
        <f>593990904392</f>
        <v>593990904392</v>
      </c>
      <c r="E73" s="5" t="s">
        <v>41</v>
      </c>
      <c r="F73" s="5" t="s">
        <v>15</v>
      </c>
    </row>
    <row r="74" spans="1:6" ht="15.75" customHeight="1" x14ac:dyDescent="0.3">
      <c r="A74" s="4">
        <v>73</v>
      </c>
      <c r="B74" s="5" t="s">
        <v>172</v>
      </c>
      <c r="C74" s="5" t="s">
        <v>173</v>
      </c>
      <c r="D74" s="6">
        <f>593953723042</f>
        <v>593953723042</v>
      </c>
      <c r="E74" s="5" t="s">
        <v>44</v>
      </c>
      <c r="F74" s="5" t="s">
        <v>10</v>
      </c>
    </row>
    <row r="75" spans="1:6" ht="15.75" customHeight="1" x14ac:dyDescent="0.3">
      <c r="A75" s="4">
        <v>74</v>
      </c>
      <c r="B75" s="5" t="s">
        <v>174</v>
      </c>
      <c r="C75" s="5" t="s">
        <v>175</v>
      </c>
      <c r="D75" s="6">
        <f>593945738538</f>
        <v>593945738538</v>
      </c>
      <c r="E75" s="5" t="s">
        <v>51</v>
      </c>
      <c r="F75" s="5" t="s">
        <v>10</v>
      </c>
    </row>
    <row r="76" spans="1:6" ht="15.75" customHeight="1" x14ac:dyDescent="0.3">
      <c r="A76" s="4">
        <v>75</v>
      </c>
      <c r="B76" s="5" t="s">
        <v>176</v>
      </c>
      <c r="C76" s="5" t="s">
        <v>177</v>
      </c>
      <c r="D76" s="6">
        <f>593930785082</f>
        <v>593930785082</v>
      </c>
      <c r="E76" s="5" t="s">
        <v>19</v>
      </c>
      <c r="F76" s="5" t="s">
        <v>23</v>
      </c>
    </row>
    <row r="77" spans="1:6" ht="15.75" customHeight="1" x14ac:dyDescent="0.3">
      <c r="A77" s="4">
        <v>76</v>
      </c>
      <c r="B77" s="5" t="s">
        <v>178</v>
      </c>
      <c r="C77" s="5" t="s">
        <v>179</v>
      </c>
      <c r="D77" s="6">
        <f>593943830175</f>
        <v>593943830175</v>
      </c>
      <c r="E77" s="5" t="s">
        <v>14</v>
      </c>
      <c r="F77" s="5" t="s">
        <v>29</v>
      </c>
    </row>
    <row r="78" spans="1:6" ht="15.75" customHeight="1" x14ac:dyDescent="0.3">
      <c r="A78" s="4">
        <v>77</v>
      </c>
      <c r="B78" s="5" t="s">
        <v>180</v>
      </c>
      <c r="C78" s="5" t="s">
        <v>181</v>
      </c>
      <c r="D78" s="6">
        <f>593917683628</f>
        <v>593917683628</v>
      </c>
      <c r="E78" s="5" t="s">
        <v>35</v>
      </c>
      <c r="F78" s="5" t="s">
        <v>29</v>
      </c>
    </row>
    <row r="79" spans="1:6" ht="15.75" customHeight="1" x14ac:dyDescent="0.3">
      <c r="A79" s="4">
        <v>78</v>
      </c>
      <c r="B79" s="5" t="s">
        <v>182</v>
      </c>
      <c r="C79" s="5" t="s">
        <v>183</v>
      </c>
      <c r="D79" s="6">
        <f>593969909756</f>
        <v>593969909756</v>
      </c>
      <c r="E79" s="5" t="s">
        <v>9</v>
      </c>
      <c r="F79" s="5" t="s">
        <v>10</v>
      </c>
    </row>
    <row r="80" spans="1:6" ht="15.75" customHeight="1" x14ac:dyDescent="0.3">
      <c r="A80" s="4">
        <v>79</v>
      </c>
      <c r="B80" s="5" t="s">
        <v>184</v>
      </c>
      <c r="C80" s="5" t="s">
        <v>185</v>
      </c>
      <c r="D80" s="6">
        <f>593938988851</f>
        <v>593938988851</v>
      </c>
      <c r="E80" s="5" t="s">
        <v>19</v>
      </c>
      <c r="F80" s="5" t="s">
        <v>29</v>
      </c>
    </row>
    <row r="81" spans="1:6" ht="15.75" customHeight="1" x14ac:dyDescent="0.3">
      <c r="A81" s="4">
        <v>80</v>
      </c>
      <c r="B81" s="5" t="s">
        <v>186</v>
      </c>
      <c r="C81" s="5" t="s">
        <v>187</v>
      </c>
      <c r="D81" s="6">
        <f>593986671271</f>
        <v>593986671271</v>
      </c>
      <c r="E81" s="5" t="s">
        <v>121</v>
      </c>
      <c r="F81" s="5" t="s">
        <v>10</v>
      </c>
    </row>
    <row r="82" spans="1:6" ht="15.75" customHeight="1" x14ac:dyDescent="0.3">
      <c r="A82" s="4">
        <v>81</v>
      </c>
      <c r="B82" s="5" t="s">
        <v>188</v>
      </c>
      <c r="C82" s="5" t="s">
        <v>189</v>
      </c>
      <c r="D82" s="6">
        <f>593998305195</f>
        <v>593998305195</v>
      </c>
      <c r="E82" s="5" t="s">
        <v>9</v>
      </c>
      <c r="F82" s="5" t="s">
        <v>29</v>
      </c>
    </row>
    <row r="83" spans="1:6" ht="15.75" customHeight="1" x14ac:dyDescent="0.3">
      <c r="A83" s="4">
        <v>82</v>
      </c>
      <c r="B83" s="5" t="s">
        <v>190</v>
      </c>
      <c r="C83" s="5" t="s">
        <v>191</v>
      </c>
      <c r="D83" s="6">
        <f>593968725194</f>
        <v>593968725194</v>
      </c>
      <c r="E83" s="5" t="s">
        <v>32</v>
      </c>
      <c r="F83" s="5" t="s">
        <v>23</v>
      </c>
    </row>
    <row r="84" spans="1:6" ht="15.75" customHeight="1" x14ac:dyDescent="0.3">
      <c r="A84" s="4">
        <v>83</v>
      </c>
      <c r="B84" s="5" t="s">
        <v>192</v>
      </c>
      <c r="C84" s="5" t="s">
        <v>193</v>
      </c>
      <c r="D84" s="6">
        <f>593997443172</f>
        <v>593997443172</v>
      </c>
      <c r="E84" s="5" t="s">
        <v>38</v>
      </c>
      <c r="F84" s="5" t="s">
        <v>10</v>
      </c>
    </row>
    <row r="85" spans="1:6" ht="15.75" customHeight="1" x14ac:dyDescent="0.3">
      <c r="A85" s="4">
        <v>84</v>
      </c>
      <c r="B85" s="5" t="s">
        <v>194</v>
      </c>
      <c r="C85" s="5" t="s">
        <v>195</v>
      </c>
      <c r="D85" s="6">
        <f>593994190306</f>
        <v>593994190306</v>
      </c>
      <c r="E85" s="5" t="s">
        <v>59</v>
      </c>
      <c r="F85" s="5" t="s">
        <v>23</v>
      </c>
    </row>
    <row r="86" spans="1:6" ht="15.75" customHeight="1" x14ac:dyDescent="0.3">
      <c r="A86" s="4">
        <v>85</v>
      </c>
      <c r="B86" s="5" t="s">
        <v>196</v>
      </c>
      <c r="C86" s="5" t="s">
        <v>197</v>
      </c>
      <c r="D86" s="6">
        <f>593945506693</f>
        <v>593945506693</v>
      </c>
      <c r="E86" s="5" t="s">
        <v>44</v>
      </c>
      <c r="F86" s="5" t="s">
        <v>23</v>
      </c>
    </row>
    <row r="87" spans="1:6" ht="15.75" customHeight="1" x14ac:dyDescent="0.3">
      <c r="A87" s="4">
        <v>86</v>
      </c>
      <c r="B87" s="5" t="s">
        <v>198</v>
      </c>
      <c r="C87" s="5" t="s">
        <v>199</v>
      </c>
      <c r="D87" s="6">
        <f>593974621059</f>
        <v>593974621059</v>
      </c>
      <c r="E87" s="5" t="s">
        <v>121</v>
      </c>
      <c r="F87" s="5" t="s">
        <v>29</v>
      </c>
    </row>
    <row r="88" spans="1:6" ht="15.75" customHeight="1" x14ac:dyDescent="0.3">
      <c r="A88" s="4">
        <v>87</v>
      </c>
      <c r="B88" s="5" t="s">
        <v>200</v>
      </c>
      <c r="C88" s="5" t="s">
        <v>201</v>
      </c>
      <c r="D88" s="6">
        <f>593966185263</f>
        <v>593966185263</v>
      </c>
      <c r="E88" s="5" t="s">
        <v>66</v>
      </c>
      <c r="F88" s="5" t="s">
        <v>23</v>
      </c>
    </row>
    <row r="89" spans="1:6" ht="15.75" customHeight="1" x14ac:dyDescent="0.3">
      <c r="A89" s="4">
        <v>88</v>
      </c>
      <c r="B89" s="5" t="s">
        <v>202</v>
      </c>
      <c r="C89" s="5" t="s">
        <v>203</v>
      </c>
      <c r="D89" s="6">
        <f>593995675597</f>
        <v>593995675597</v>
      </c>
      <c r="E89" s="5" t="s">
        <v>59</v>
      </c>
      <c r="F89" s="5" t="s">
        <v>15</v>
      </c>
    </row>
    <row r="90" spans="1:6" ht="15.75" customHeight="1" x14ac:dyDescent="0.3">
      <c r="A90" s="4">
        <v>89</v>
      </c>
      <c r="B90" s="5" t="s">
        <v>204</v>
      </c>
      <c r="C90" s="5" t="s">
        <v>205</v>
      </c>
      <c r="D90" s="6">
        <f>593952284675</f>
        <v>593952284675</v>
      </c>
      <c r="E90" s="5" t="s">
        <v>51</v>
      </c>
      <c r="F90" s="5" t="s">
        <v>15</v>
      </c>
    </row>
    <row r="91" spans="1:6" ht="15.75" customHeight="1" x14ac:dyDescent="0.3">
      <c r="A91" s="4">
        <v>90</v>
      </c>
      <c r="B91" s="5" t="s">
        <v>206</v>
      </c>
      <c r="C91" s="5" t="s">
        <v>159</v>
      </c>
      <c r="D91" s="6">
        <f>593929892287</f>
        <v>593929892287</v>
      </c>
      <c r="E91" s="5" t="s">
        <v>19</v>
      </c>
      <c r="F91" s="5" t="s">
        <v>29</v>
      </c>
    </row>
    <row r="92" spans="1:6" ht="15.75" customHeight="1" x14ac:dyDescent="0.3">
      <c r="A92" s="4">
        <v>91</v>
      </c>
      <c r="B92" s="5" t="s">
        <v>207</v>
      </c>
      <c r="C92" s="5" t="s">
        <v>208</v>
      </c>
      <c r="D92" s="6">
        <f>593940427054</f>
        <v>593940427054</v>
      </c>
      <c r="E92" s="5" t="s">
        <v>38</v>
      </c>
      <c r="F92" s="5" t="s">
        <v>29</v>
      </c>
    </row>
    <row r="93" spans="1:6" ht="15.75" customHeight="1" x14ac:dyDescent="0.3">
      <c r="A93" s="4">
        <v>92</v>
      </c>
      <c r="B93" s="5" t="s">
        <v>209</v>
      </c>
      <c r="C93" s="5" t="s">
        <v>210</v>
      </c>
      <c r="D93" s="6">
        <f>593955092649</f>
        <v>593955092649</v>
      </c>
      <c r="E93" s="5" t="s">
        <v>44</v>
      </c>
      <c r="F93" s="5" t="s">
        <v>23</v>
      </c>
    </row>
    <row r="94" spans="1:6" ht="15.75" customHeight="1" x14ac:dyDescent="0.3">
      <c r="A94" s="4">
        <v>93</v>
      </c>
      <c r="B94" s="5" t="s">
        <v>211</v>
      </c>
      <c r="C94" s="5" t="s">
        <v>212</v>
      </c>
      <c r="D94" s="6">
        <f>593924702580</f>
        <v>593924702580</v>
      </c>
      <c r="E94" s="5" t="s">
        <v>32</v>
      </c>
      <c r="F94" s="5" t="s">
        <v>15</v>
      </c>
    </row>
    <row r="95" spans="1:6" ht="15.75" customHeight="1" x14ac:dyDescent="0.3">
      <c r="A95" s="4">
        <v>94</v>
      </c>
      <c r="B95" s="5" t="s">
        <v>213</v>
      </c>
      <c r="C95" s="5" t="s">
        <v>201</v>
      </c>
      <c r="D95" s="6">
        <f>593980583216</f>
        <v>593980583216</v>
      </c>
      <c r="E95" s="5" t="s">
        <v>56</v>
      </c>
      <c r="F95" s="5" t="s">
        <v>23</v>
      </c>
    </row>
    <row r="96" spans="1:6" ht="15.75" customHeight="1" x14ac:dyDescent="0.3">
      <c r="A96" s="4">
        <v>95</v>
      </c>
      <c r="B96" s="5" t="s">
        <v>214</v>
      </c>
      <c r="C96" s="5" t="s">
        <v>215</v>
      </c>
      <c r="D96" s="6">
        <f>593952895831</f>
        <v>593952895831</v>
      </c>
      <c r="E96" s="5" t="s">
        <v>51</v>
      </c>
      <c r="F96" s="5" t="s">
        <v>23</v>
      </c>
    </row>
    <row r="97" spans="1:6" ht="15.75" customHeight="1" x14ac:dyDescent="0.3">
      <c r="A97" s="4">
        <v>96</v>
      </c>
      <c r="B97" s="5" t="s">
        <v>216</v>
      </c>
      <c r="C97" s="5" t="s">
        <v>217</v>
      </c>
      <c r="D97" s="6">
        <f>593954440985</f>
        <v>593954440985</v>
      </c>
      <c r="E97" s="5" t="s">
        <v>32</v>
      </c>
      <c r="F97" s="5" t="s">
        <v>15</v>
      </c>
    </row>
    <row r="98" spans="1:6" ht="15.75" customHeight="1" x14ac:dyDescent="0.3">
      <c r="A98" s="4">
        <v>97</v>
      </c>
      <c r="B98" s="5" t="s">
        <v>218</v>
      </c>
      <c r="C98" s="5" t="s">
        <v>219</v>
      </c>
      <c r="D98" s="6">
        <f>593984543591</f>
        <v>593984543591</v>
      </c>
      <c r="E98" s="5" t="s">
        <v>32</v>
      </c>
      <c r="F98" s="5" t="s">
        <v>15</v>
      </c>
    </row>
    <row r="99" spans="1:6" ht="15.75" customHeight="1" x14ac:dyDescent="0.3">
      <c r="A99" s="4">
        <v>98</v>
      </c>
      <c r="B99" s="5" t="s">
        <v>220</v>
      </c>
      <c r="C99" s="5" t="s">
        <v>221</v>
      </c>
      <c r="D99" s="6">
        <f>593919763064</f>
        <v>593919763064</v>
      </c>
      <c r="E99" s="5" t="s">
        <v>51</v>
      </c>
      <c r="F99" s="5" t="s">
        <v>23</v>
      </c>
    </row>
    <row r="100" spans="1:6" ht="15.75" customHeight="1" x14ac:dyDescent="0.3">
      <c r="A100" s="4">
        <v>99</v>
      </c>
      <c r="B100" s="5" t="s">
        <v>222</v>
      </c>
      <c r="C100" s="5" t="s">
        <v>223</v>
      </c>
      <c r="D100" s="6">
        <f>593986064293</f>
        <v>593986064293</v>
      </c>
      <c r="E100" s="5" t="s">
        <v>9</v>
      </c>
      <c r="F100" s="5" t="s">
        <v>29</v>
      </c>
    </row>
    <row r="101" spans="1:6" ht="15.75" customHeight="1" x14ac:dyDescent="0.3">
      <c r="A101" s="4">
        <v>100</v>
      </c>
      <c r="B101" s="5" t="s">
        <v>224</v>
      </c>
      <c r="C101" s="5" t="s">
        <v>225</v>
      </c>
      <c r="D101" s="6">
        <f>593924954686</f>
        <v>593924954686</v>
      </c>
      <c r="E101" s="5" t="s">
        <v>66</v>
      </c>
      <c r="F101" s="5" t="s">
        <v>29</v>
      </c>
    </row>
    <row r="102" spans="1:6" ht="15.75" customHeight="1" x14ac:dyDescent="0.3">
      <c r="A102" s="4">
        <v>101</v>
      </c>
      <c r="B102" s="5" t="s">
        <v>226</v>
      </c>
      <c r="C102" s="5" t="s">
        <v>227</v>
      </c>
      <c r="D102" s="6">
        <f>593958437805</f>
        <v>593958437805</v>
      </c>
      <c r="E102" s="5" t="s">
        <v>9</v>
      </c>
      <c r="F102" s="5" t="s">
        <v>23</v>
      </c>
    </row>
    <row r="103" spans="1:6" ht="15.75" customHeight="1" x14ac:dyDescent="0.3">
      <c r="A103" s="4">
        <v>102</v>
      </c>
      <c r="B103" s="5" t="s">
        <v>228</v>
      </c>
      <c r="C103" s="5" t="s">
        <v>229</v>
      </c>
      <c r="D103" s="6">
        <f>593925034213</f>
        <v>593925034213</v>
      </c>
      <c r="E103" s="5" t="s">
        <v>56</v>
      </c>
      <c r="F103" s="5" t="s">
        <v>29</v>
      </c>
    </row>
    <row r="104" spans="1:6" ht="15.75" customHeight="1" x14ac:dyDescent="0.3">
      <c r="A104" s="4">
        <v>103</v>
      </c>
      <c r="B104" s="5" t="s">
        <v>230</v>
      </c>
      <c r="C104" s="5" t="s">
        <v>231</v>
      </c>
      <c r="D104" s="6">
        <f>593986135865</f>
        <v>593986135865</v>
      </c>
      <c r="E104" s="5" t="s">
        <v>56</v>
      </c>
      <c r="F104" s="5" t="s">
        <v>15</v>
      </c>
    </row>
    <row r="105" spans="1:6" ht="15.75" customHeight="1" x14ac:dyDescent="0.3">
      <c r="A105" s="4">
        <v>104</v>
      </c>
      <c r="B105" s="5" t="s">
        <v>232</v>
      </c>
      <c r="C105" s="5" t="s">
        <v>231</v>
      </c>
      <c r="D105" s="6">
        <f>593971357362</f>
        <v>593971357362</v>
      </c>
      <c r="E105" s="5" t="s">
        <v>121</v>
      </c>
      <c r="F105" s="5" t="s">
        <v>23</v>
      </c>
    </row>
    <row r="106" spans="1:6" ht="15.75" customHeight="1" x14ac:dyDescent="0.3">
      <c r="A106" s="4">
        <v>105</v>
      </c>
      <c r="B106" s="5" t="s">
        <v>233</v>
      </c>
      <c r="C106" s="5" t="s">
        <v>234</v>
      </c>
      <c r="D106" s="6">
        <f>593973887356</f>
        <v>593973887356</v>
      </c>
      <c r="E106" s="5" t="s">
        <v>56</v>
      </c>
      <c r="F106" s="5" t="s">
        <v>23</v>
      </c>
    </row>
    <row r="107" spans="1:6" ht="15.75" customHeight="1" x14ac:dyDescent="0.3">
      <c r="A107" s="4">
        <v>106</v>
      </c>
      <c r="B107" s="5" t="s">
        <v>235</v>
      </c>
      <c r="C107" s="5" t="s">
        <v>236</v>
      </c>
      <c r="D107" s="6">
        <f>593974086179</f>
        <v>593974086179</v>
      </c>
      <c r="E107" s="5" t="s">
        <v>51</v>
      </c>
      <c r="F107" s="5" t="s">
        <v>23</v>
      </c>
    </row>
    <row r="108" spans="1:6" ht="15.75" customHeight="1" x14ac:dyDescent="0.3">
      <c r="A108" s="4">
        <v>107</v>
      </c>
      <c r="B108" s="5" t="s">
        <v>237</v>
      </c>
      <c r="C108" s="5" t="s">
        <v>238</v>
      </c>
      <c r="D108" s="6">
        <f>593929705083</f>
        <v>593929705083</v>
      </c>
      <c r="E108" s="5" t="s">
        <v>14</v>
      </c>
      <c r="F108" s="5" t="s">
        <v>10</v>
      </c>
    </row>
    <row r="109" spans="1:6" ht="15.75" customHeight="1" x14ac:dyDescent="0.3">
      <c r="A109" s="4">
        <v>108</v>
      </c>
      <c r="B109" s="5" t="s">
        <v>239</v>
      </c>
      <c r="C109" s="5" t="s">
        <v>240</v>
      </c>
      <c r="D109" s="6">
        <f>593942352797</f>
        <v>593942352797</v>
      </c>
      <c r="E109" s="5" t="s">
        <v>19</v>
      </c>
      <c r="F109" s="5" t="s">
        <v>15</v>
      </c>
    </row>
    <row r="110" spans="1:6" ht="15.75" customHeight="1" x14ac:dyDescent="0.3">
      <c r="A110" s="4">
        <v>109</v>
      </c>
      <c r="B110" s="5" t="s">
        <v>241</v>
      </c>
      <c r="C110" s="5" t="s">
        <v>242</v>
      </c>
      <c r="D110" s="6">
        <f>593948741945</f>
        <v>593948741945</v>
      </c>
      <c r="E110" s="5" t="s">
        <v>51</v>
      </c>
      <c r="F110" s="5" t="s">
        <v>29</v>
      </c>
    </row>
    <row r="111" spans="1:6" ht="15.75" customHeight="1" x14ac:dyDescent="0.3">
      <c r="A111" s="4">
        <v>110</v>
      </c>
      <c r="B111" s="5" t="s">
        <v>243</v>
      </c>
      <c r="C111" s="5" t="s">
        <v>244</v>
      </c>
      <c r="D111" s="6">
        <f>593927600946</f>
        <v>593927600946</v>
      </c>
      <c r="E111" s="5" t="s">
        <v>19</v>
      </c>
      <c r="F111" s="5" t="s">
        <v>10</v>
      </c>
    </row>
    <row r="112" spans="1:6" ht="15.75" customHeight="1" x14ac:dyDescent="0.3">
      <c r="A112" s="4">
        <v>111</v>
      </c>
      <c r="B112" s="5" t="s">
        <v>245</v>
      </c>
      <c r="C112" s="5" t="s">
        <v>246</v>
      </c>
      <c r="D112" s="6">
        <f>593994005335</f>
        <v>593994005335</v>
      </c>
      <c r="E112" s="5" t="s">
        <v>19</v>
      </c>
      <c r="F112" s="5" t="s">
        <v>10</v>
      </c>
    </row>
    <row r="113" spans="1:6" ht="15.75" customHeight="1" x14ac:dyDescent="0.3">
      <c r="A113" s="4">
        <v>112</v>
      </c>
      <c r="B113" s="5" t="s">
        <v>247</v>
      </c>
      <c r="C113" s="5" t="s">
        <v>248</v>
      </c>
      <c r="D113" s="6">
        <f>593912096081</f>
        <v>593912096081</v>
      </c>
      <c r="E113" s="5" t="s">
        <v>51</v>
      </c>
      <c r="F113" s="5" t="s">
        <v>15</v>
      </c>
    </row>
    <row r="114" spans="1:6" ht="15.75" customHeight="1" x14ac:dyDescent="0.3">
      <c r="A114" s="4">
        <v>113</v>
      </c>
      <c r="B114" s="5" t="s">
        <v>249</v>
      </c>
      <c r="C114" s="5" t="s">
        <v>250</v>
      </c>
      <c r="D114" s="6">
        <f>593960602634</f>
        <v>593960602634</v>
      </c>
      <c r="E114" s="5" t="s">
        <v>32</v>
      </c>
      <c r="F114" s="5" t="s">
        <v>29</v>
      </c>
    </row>
    <row r="115" spans="1:6" ht="15.75" customHeight="1" x14ac:dyDescent="0.3">
      <c r="A115" s="4">
        <v>114</v>
      </c>
      <c r="B115" s="5" t="s">
        <v>251</v>
      </c>
      <c r="C115" s="5" t="s">
        <v>252</v>
      </c>
      <c r="D115" s="6">
        <f>593992054583</f>
        <v>593992054583</v>
      </c>
      <c r="E115" s="5" t="s">
        <v>121</v>
      </c>
      <c r="F115" s="5" t="s">
        <v>15</v>
      </c>
    </row>
    <row r="116" spans="1:6" ht="15.75" customHeight="1" x14ac:dyDescent="0.3">
      <c r="A116" s="4">
        <v>115</v>
      </c>
      <c r="B116" s="5" t="s">
        <v>253</v>
      </c>
      <c r="C116" s="5" t="s">
        <v>254</v>
      </c>
      <c r="D116" s="6">
        <f>593996086663</f>
        <v>593996086663</v>
      </c>
      <c r="E116" s="5" t="s">
        <v>32</v>
      </c>
      <c r="F116" s="5" t="s">
        <v>10</v>
      </c>
    </row>
    <row r="117" spans="1:6" ht="15.75" customHeight="1" x14ac:dyDescent="0.3">
      <c r="A117" s="4">
        <v>116</v>
      </c>
      <c r="B117" s="5" t="s">
        <v>255</v>
      </c>
      <c r="C117" s="5" t="s">
        <v>256</v>
      </c>
      <c r="D117" s="6">
        <f>593938134354</f>
        <v>593938134354</v>
      </c>
      <c r="E117" s="5" t="s">
        <v>32</v>
      </c>
      <c r="F117" s="5" t="s">
        <v>23</v>
      </c>
    </row>
    <row r="118" spans="1:6" ht="15.75" customHeight="1" x14ac:dyDescent="0.3">
      <c r="A118" s="4">
        <v>117</v>
      </c>
      <c r="B118" s="5" t="s">
        <v>257</v>
      </c>
      <c r="C118" s="5" t="s">
        <v>258</v>
      </c>
      <c r="D118" s="6">
        <f>593982382021</f>
        <v>593982382021</v>
      </c>
      <c r="E118" s="5" t="s">
        <v>44</v>
      </c>
      <c r="F118" s="5" t="s">
        <v>23</v>
      </c>
    </row>
    <row r="119" spans="1:6" ht="15.75" customHeight="1" x14ac:dyDescent="0.3">
      <c r="A119" s="4">
        <v>118</v>
      </c>
      <c r="B119" s="5" t="s">
        <v>259</v>
      </c>
      <c r="C119" s="5" t="s">
        <v>260</v>
      </c>
      <c r="D119" s="6">
        <f>593929491551</f>
        <v>593929491551</v>
      </c>
      <c r="E119" s="5" t="s">
        <v>44</v>
      </c>
      <c r="F119" s="5" t="s">
        <v>15</v>
      </c>
    </row>
    <row r="120" spans="1:6" ht="15.75" customHeight="1" x14ac:dyDescent="0.3">
      <c r="A120" s="4">
        <v>119</v>
      </c>
      <c r="B120" s="5" t="s">
        <v>261</v>
      </c>
      <c r="C120" s="5" t="s">
        <v>262</v>
      </c>
      <c r="D120" s="6">
        <f>593929340619</f>
        <v>593929340619</v>
      </c>
      <c r="E120" s="5" t="s">
        <v>41</v>
      </c>
      <c r="F120" s="5" t="s">
        <v>29</v>
      </c>
    </row>
    <row r="121" spans="1:6" ht="15.75" customHeight="1" x14ac:dyDescent="0.3">
      <c r="A121" s="4">
        <v>120</v>
      </c>
      <c r="B121" s="5" t="s">
        <v>263</v>
      </c>
      <c r="C121" s="5" t="s">
        <v>264</v>
      </c>
      <c r="D121" s="6">
        <f>593951517771</f>
        <v>593951517771</v>
      </c>
      <c r="E121" s="5" t="s">
        <v>14</v>
      </c>
      <c r="F121" s="5" t="s">
        <v>15</v>
      </c>
    </row>
    <row r="122" spans="1:6" ht="15.75" customHeight="1" x14ac:dyDescent="0.3">
      <c r="A122" s="4">
        <v>121</v>
      </c>
      <c r="B122" s="5" t="s">
        <v>265</v>
      </c>
      <c r="C122" s="5" t="s">
        <v>266</v>
      </c>
      <c r="D122" s="6">
        <f>593915354879</f>
        <v>593915354879</v>
      </c>
      <c r="E122" s="5" t="s">
        <v>14</v>
      </c>
      <c r="F122" s="5" t="s">
        <v>10</v>
      </c>
    </row>
    <row r="123" spans="1:6" ht="15.75" customHeight="1" x14ac:dyDescent="0.3">
      <c r="A123" s="4">
        <v>122</v>
      </c>
      <c r="B123" s="5" t="s">
        <v>267</v>
      </c>
      <c r="C123" s="5" t="s">
        <v>145</v>
      </c>
      <c r="D123" s="6">
        <f>593931139380</f>
        <v>593931139380</v>
      </c>
      <c r="E123" s="5" t="s">
        <v>121</v>
      </c>
      <c r="F123" s="5" t="s">
        <v>15</v>
      </c>
    </row>
    <row r="124" spans="1:6" ht="15.75" customHeight="1" x14ac:dyDescent="0.3">
      <c r="A124" s="4">
        <v>123</v>
      </c>
      <c r="B124" s="5" t="s">
        <v>268</v>
      </c>
      <c r="C124" s="5" t="s">
        <v>269</v>
      </c>
      <c r="D124" s="6">
        <f>593975209679</f>
        <v>593975209679</v>
      </c>
      <c r="E124" s="5" t="s">
        <v>32</v>
      </c>
      <c r="F124" s="5" t="s">
        <v>15</v>
      </c>
    </row>
    <row r="125" spans="1:6" ht="15.75" customHeight="1" x14ac:dyDescent="0.3">
      <c r="A125" s="4">
        <v>124</v>
      </c>
      <c r="B125" s="5" t="s">
        <v>270</v>
      </c>
      <c r="C125" s="5" t="s">
        <v>271</v>
      </c>
      <c r="D125" s="6">
        <f>593948333408</f>
        <v>593948333408</v>
      </c>
      <c r="E125" s="5" t="s">
        <v>38</v>
      </c>
      <c r="F125" s="5" t="s">
        <v>23</v>
      </c>
    </row>
    <row r="126" spans="1:6" ht="15.75" customHeight="1" x14ac:dyDescent="0.3">
      <c r="A126" s="4">
        <v>125</v>
      </c>
      <c r="B126" s="5" t="s">
        <v>272</v>
      </c>
      <c r="C126" s="5" t="s">
        <v>273</v>
      </c>
      <c r="D126" s="6">
        <f>593987965030</f>
        <v>593987965030</v>
      </c>
      <c r="E126" s="5" t="s">
        <v>35</v>
      </c>
      <c r="F126" s="5" t="s">
        <v>10</v>
      </c>
    </row>
    <row r="127" spans="1:6" ht="15.75" customHeight="1" x14ac:dyDescent="0.3">
      <c r="A127" s="4">
        <v>126</v>
      </c>
      <c r="B127" s="5" t="s">
        <v>274</v>
      </c>
      <c r="C127" s="5" t="s">
        <v>252</v>
      </c>
      <c r="D127" s="6">
        <f>593937984634</f>
        <v>593937984634</v>
      </c>
      <c r="E127" s="5" t="s">
        <v>38</v>
      </c>
      <c r="F127" s="5" t="s">
        <v>15</v>
      </c>
    </row>
    <row r="128" spans="1:6" ht="15.75" customHeight="1" x14ac:dyDescent="0.3">
      <c r="A128" s="4">
        <v>127</v>
      </c>
      <c r="B128" s="5" t="s">
        <v>275</v>
      </c>
      <c r="C128" s="5" t="s">
        <v>276</v>
      </c>
      <c r="D128" s="6">
        <f>593933267367</f>
        <v>593933267367</v>
      </c>
      <c r="E128" s="5" t="s">
        <v>32</v>
      </c>
      <c r="F128" s="5" t="s">
        <v>29</v>
      </c>
    </row>
    <row r="129" spans="1:6" ht="15.75" customHeight="1" x14ac:dyDescent="0.3">
      <c r="A129" s="4">
        <v>128</v>
      </c>
      <c r="B129" s="5" t="s">
        <v>69</v>
      </c>
      <c r="C129" s="5" t="s">
        <v>277</v>
      </c>
      <c r="D129" s="6">
        <f>593970503918</f>
        <v>593970503918</v>
      </c>
      <c r="E129" s="5" t="s">
        <v>35</v>
      </c>
      <c r="F129" s="5" t="s">
        <v>23</v>
      </c>
    </row>
    <row r="130" spans="1:6" ht="15.75" customHeight="1" x14ac:dyDescent="0.3">
      <c r="A130" s="4">
        <v>129</v>
      </c>
      <c r="B130" s="5" t="s">
        <v>278</v>
      </c>
      <c r="C130" s="5" t="s">
        <v>279</v>
      </c>
      <c r="D130" s="6">
        <f>593980779597</f>
        <v>593980779597</v>
      </c>
      <c r="E130" s="5" t="s">
        <v>41</v>
      </c>
      <c r="F130" s="5" t="s">
        <v>23</v>
      </c>
    </row>
    <row r="131" spans="1:6" ht="15.75" customHeight="1" x14ac:dyDescent="0.3">
      <c r="A131" s="4">
        <v>130</v>
      </c>
      <c r="B131" s="5" t="s">
        <v>280</v>
      </c>
      <c r="C131" s="5" t="s">
        <v>281</v>
      </c>
      <c r="D131" s="6">
        <f>593950332799</f>
        <v>593950332799</v>
      </c>
      <c r="E131" s="5" t="s">
        <v>59</v>
      </c>
      <c r="F131" s="5" t="s">
        <v>23</v>
      </c>
    </row>
    <row r="132" spans="1:6" ht="15.75" customHeight="1" x14ac:dyDescent="0.3">
      <c r="A132" s="4">
        <v>131</v>
      </c>
      <c r="B132" s="5" t="s">
        <v>45</v>
      </c>
      <c r="C132" s="5" t="s">
        <v>282</v>
      </c>
      <c r="D132" s="6">
        <f>593953284575</f>
        <v>593953284575</v>
      </c>
      <c r="E132" s="5" t="s">
        <v>51</v>
      </c>
      <c r="F132" s="5" t="s">
        <v>15</v>
      </c>
    </row>
    <row r="133" spans="1:6" ht="15.75" customHeight="1" x14ac:dyDescent="0.3">
      <c r="A133" s="4">
        <v>132</v>
      </c>
      <c r="B133" s="5" t="s">
        <v>283</v>
      </c>
      <c r="C133" s="5" t="s">
        <v>260</v>
      </c>
      <c r="D133" s="6">
        <f>593916253924</f>
        <v>593916253924</v>
      </c>
      <c r="E133" s="5" t="s">
        <v>51</v>
      </c>
      <c r="F133" s="5" t="s">
        <v>10</v>
      </c>
    </row>
    <row r="134" spans="1:6" ht="15.75" customHeight="1" x14ac:dyDescent="0.3">
      <c r="A134" s="4">
        <v>133</v>
      </c>
      <c r="B134" s="5" t="s">
        <v>284</v>
      </c>
      <c r="C134" s="5" t="s">
        <v>285</v>
      </c>
      <c r="D134" s="6">
        <f>593995147335</f>
        <v>593995147335</v>
      </c>
      <c r="E134" s="5" t="s">
        <v>9</v>
      </c>
      <c r="F134" s="5" t="s">
        <v>15</v>
      </c>
    </row>
    <row r="135" spans="1:6" ht="15.75" customHeight="1" x14ac:dyDescent="0.3">
      <c r="A135" s="4">
        <v>134</v>
      </c>
      <c r="B135" s="5" t="s">
        <v>286</v>
      </c>
      <c r="C135" s="5" t="s">
        <v>287</v>
      </c>
      <c r="D135" s="6">
        <f>593936726382</f>
        <v>593936726382</v>
      </c>
      <c r="E135" s="5" t="s">
        <v>35</v>
      </c>
      <c r="F135" s="5" t="s">
        <v>29</v>
      </c>
    </row>
    <row r="136" spans="1:6" ht="15.75" customHeight="1" x14ac:dyDescent="0.3">
      <c r="A136" s="4">
        <v>135</v>
      </c>
      <c r="B136" s="5" t="s">
        <v>288</v>
      </c>
      <c r="C136" s="5" t="s">
        <v>289</v>
      </c>
      <c r="D136" s="6">
        <f>593945292360</f>
        <v>593945292360</v>
      </c>
      <c r="E136" s="5" t="s">
        <v>66</v>
      </c>
      <c r="F136" s="5" t="s">
        <v>15</v>
      </c>
    </row>
    <row r="137" spans="1:6" ht="15.75" customHeight="1" x14ac:dyDescent="0.3">
      <c r="A137" s="4">
        <v>136</v>
      </c>
      <c r="B137" s="5" t="s">
        <v>290</v>
      </c>
      <c r="C137" s="5" t="s">
        <v>291</v>
      </c>
      <c r="D137" s="6">
        <f>593941357300</f>
        <v>593941357300</v>
      </c>
      <c r="E137" s="5" t="s">
        <v>35</v>
      </c>
      <c r="F137" s="5" t="s">
        <v>10</v>
      </c>
    </row>
    <row r="138" spans="1:6" ht="15.75" customHeight="1" x14ac:dyDescent="0.3">
      <c r="A138" s="4">
        <v>137</v>
      </c>
      <c r="B138" s="5" t="s">
        <v>292</v>
      </c>
      <c r="C138" s="5" t="s">
        <v>293</v>
      </c>
      <c r="D138" s="6">
        <f>593979232883</f>
        <v>593979232883</v>
      </c>
      <c r="E138" s="5" t="s">
        <v>32</v>
      </c>
      <c r="F138" s="5" t="s">
        <v>15</v>
      </c>
    </row>
    <row r="139" spans="1:6" ht="15.75" customHeight="1" x14ac:dyDescent="0.3">
      <c r="A139" s="4">
        <v>138</v>
      </c>
      <c r="B139" s="5" t="s">
        <v>294</v>
      </c>
      <c r="C139" s="5" t="s">
        <v>295</v>
      </c>
      <c r="D139" s="6">
        <f>593959792852</f>
        <v>593959792852</v>
      </c>
      <c r="E139" s="5" t="s">
        <v>44</v>
      </c>
      <c r="F139" s="5" t="s">
        <v>15</v>
      </c>
    </row>
    <row r="140" spans="1:6" ht="15.75" customHeight="1" x14ac:dyDescent="0.3">
      <c r="A140" s="4">
        <v>139</v>
      </c>
      <c r="B140" s="5" t="s">
        <v>296</v>
      </c>
      <c r="C140" s="5" t="s">
        <v>297</v>
      </c>
      <c r="D140" s="6">
        <f>593977096410</f>
        <v>593977096410</v>
      </c>
      <c r="E140" s="5" t="s">
        <v>41</v>
      </c>
      <c r="F140" s="5" t="s">
        <v>10</v>
      </c>
    </row>
    <row r="141" spans="1:6" ht="15.75" customHeight="1" x14ac:dyDescent="0.3">
      <c r="A141" s="4">
        <v>140</v>
      </c>
      <c r="B141" s="5" t="s">
        <v>298</v>
      </c>
      <c r="C141" s="5" t="s">
        <v>299</v>
      </c>
      <c r="D141" s="6">
        <f>593964438589</f>
        <v>593964438589</v>
      </c>
      <c r="E141" s="5" t="s">
        <v>9</v>
      </c>
      <c r="F141" s="5" t="s">
        <v>23</v>
      </c>
    </row>
    <row r="142" spans="1:6" ht="15.75" customHeight="1" x14ac:dyDescent="0.3">
      <c r="A142" s="4">
        <v>141</v>
      </c>
      <c r="B142" s="5" t="s">
        <v>300</v>
      </c>
      <c r="C142" s="5" t="s">
        <v>301</v>
      </c>
      <c r="D142" s="6">
        <f>593924814096</f>
        <v>593924814096</v>
      </c>
      <c r="E142" s="5" t="s">
        <v>35</v>
      </c>
      <c r="F142" s="5" t="s">
        <v>23</v>
      </c>
    </row>
    <row r="143" spans="1:6" ht="15.75" customHeight="1" x14ac:dyDescent="0.3">
      <c r="A143" s="4">
        <v>142</v>
      </c>
      <c r="B143" s="5" t="s">
        <v>302</v>
      </c>
      <c r="C143" s="5" t="s">
        <v>303</v>
      </c>
      <c r="D143" s="6">
        <f>593976721273</f>
        <v>593976721273</v>
      </c>
      <c r="E143" s="5" t="s">
        <v>121</v>
      </c>
      <c r="F143" s="5" t="s">
        <v>29</v>
      </c>
    </row>
    <row r="144" spans="1:6" ht="15.75" customHeight="1" x14ac:dyDescent="0.3">
      <c r="A144" s="4">
        <v>143</v>
      </c>
      <c r="B144" s="5" t="s">
        <v>304</v>
      </c>
      <c r="C144" s="5" t="s">
        <v>305</v>
      </c>
      <c r="D144" s="6">
        <f>593977266285</f>
        <v>593977266285</v>
      </c>
      <c r="E144" s="5" t="s">
        <v>35</v>
      </c>
      <c r="F144" s="5" t="s">
        <v>10</v>
      </c>
    </row>
    <row r="145" spans="1:6" ht="15.75" customHeight="1" x14ac:dyDescent="0.3">
      <c r="A145" s="4">
        <v>144</v>
      </c>
      <c r="B145" s="5" t="s">
        <v>306</v>
      </c>
      <c r="C145" s="5" t="s">
        <v>197</v>
      </c>
      <c r="D145" s="6">
        <f>593930196217</f>
        <v>593930196217</v>
      </c>
      <c r="E145" s="5" t="s">
        <v>66</v>
      </c>
      <c r="F145" s="5" t="s">
        <v>10</v>
      </c>
    </row>
    <row r="146" spans="1:6" ht="15.75" customHeight="1" x14ac:dyDescent="0.3">
      <c r="A146" s="4">
        <v>145</v>
      </c>
      <c r="B146" s="5" t="s">
        <v>307</v>
      </c>
      <c r="C146" s="5" t="s">
        <v>308</v>
      </c>
      <c r="D146" s="6">
        <f>593986140079</f>
        <v>593986140079</v>
      </c>
      <c r="E146" s="5" t="s">
        <v>14</v>
      </c>
      <c r="F146" s="5" t="s">
        <v>15</v>
      </c>
    </row>
    <row r="147" spans="1:6" ht="15.75" customHeight="1" x14ac:dyDescent="0.3">
      <c r="A147" s="4">
        <v>146</v>
      </c>
      <c r="B147" s="5" t="s">
        <v>309</v>
      </c>
      <c r="C147" s="5" t="s">
        <v>310</v>
      </c>
      <c r="D147" s="6">
        <f>593932030581</f>
        <v>593932030581</v>
      </c>
      <c r="E147" s="5" t="s">
        <v>56</v>
      </c>
      <c r="F147" s="5" t="s">
        <v>10</v>
      </c>
    </row>
    <row r="148" spans="1:6" ht="15.75" customHeight="1" x14ac:dyDescent="0.3">
      <c r="A148" s="4">
        <v>147</v>
      </c>
      <c r="B148" s="5" t="s">
        <v>311</v>
      </c>
      <c r="C148" s="5" t="s">
        <v>312</v>
      </c>
      <c r="D148" s="6">
        <f>593975241426</f>
        <v>593975241426</v>
      </c>
      <c r="E148" s="5" t="s">
        <v>38</v>
      </c>
      <c r="F148" s="5" t="s">
        <v>29</v>
      </c>
    </row>
    <row r="149" spans="1:6" ht="15.75" customHeight="1" x14ac:dyDescent="0.3">
      <c r="A149" s="4">
        <v>148</v>
      </c>
      <c r="B149" s="5" t="s">
        <v>313</v>
      </c>
      <c r="C149" s="5" t="s">
        <v>314</v>
      </c>
      <c r="D149" s="6">
        <f>593968812758</f>
        <v>593968812758</v>
      </c>
      <c r="E149" s="5" t="s">
        <v>9</v>
      </c>
      <c r="F149" s="5" t="s">
        <v>29</v>
      </c>
    </row>
    <row r="150" spans="1:6" ht="15.75" customHeight="1" x14ac:dyDescent="0.3">
      <c r="A150" s="4">
        <v>149</v>
      </c>
      <c r="B150" s="5" t="s">
        <v>315</v>
      </c>
      <c r="C150" s="5" t="s">
        <v>316</v>
      </c>
      <c r="D150" s="6">
        <f>593919343150</f>
        <v>593919343150</v>
      </c>
      <c r="E150" s="5" t="s">
        <v>59</v>
      </c>
      <c r="F150" s="5" t="s">
        <v>23</v>
      </c>
    </row>
    <row r="151" spans="1:6" ht="15.75" customHeight="1" x14ac:dyDescent="0.3">
      <c r="A151" s="4">
        <v>150</v>
      </c>
      <c r="B151" s="5" t="s">
        <v>317</v>
      </c>
      <c r="C151" s="5" t="s">
        <v>318</v>
      </c>
      <c r="D151" s="6">
        <f>593939862738</f>
        <v>593939862738</v>
      </c>
      <c r="E151" s="5" t="s">
        <v>66</v>
      </c>
      <c r="F151" s="5" t="s">
        <v>23</v>
      </c>
    </row>
    <row r="152" spans="1:6" ht="15.75" customHeight="1" x14ac:dyDescent="0.3">
      <c r="A152" s="4">
        <v>151</v>
      </c>
      <c r="B152" s="5" t="s">
        <v>319</v>
      </c>
      <c r="C152" s="5" t="s">
        <v>320</v>
      </c>
      <c r="D152" s="6">
        <f>593965371325</f>
        <v>593965371325</v>
      </c>
      <c r="E152" s="5" t="s">
        <v>41</v>
      </c>
      <c r="F152" s="5" t="s">
        <v>10</v>
      </c>
    </row>
    <row r="153" spans="1:6" ht="15.75" customHeight="1" x14ac:dyDescent="0.3">
      <c r="A153" s="4">
        <v>152</v>
      </c>
      <c r="B153" s="5" t="s">
        <v>321</v>
      </c>
      <c r="C153" s="5" t="s">
        <v>181</v>
      </c>
      <c r="D153" s="6">
        <f>593937103049</f>
        <v>593937103049</v>
      </c>
      <c r="E153" s="5" t="s">
        <v>121</v>
      </c>
      <c r="F153" s="5" t="s">
        <v>29</v>
      </c>
    </row>
    <row r="154" spans="1:6" ht="15.75" customHeight="1" x14ac:dyDescent="0.3">
      <c r="A154" s="4">
        <v>153</v>
      </c>
      <c r="B154" s="5" t="s">
        <v>322</v>
      </c>
      <c r="C154" s="5" t="s">
        <v>323</v>
      </c>
      <c r="D154" s="6">
        <f>593978374118</f>
        <v>593978374118</v>
      </c>
      <c r="E154" s="5" t="s">
        <v>66</v>
      </c>
      <c r="F154" s="5" t="s">
        <v>10</v>
      </c>
    </row>
    <row r="155" spans="1:6" ht="15.75" customHeight="1" x14ac:dyDescent="0.3">
      <c r="A155" s="4">
        <v>154</v>
      </c>
      <c r="B155" s="5" t="s">
        <v>324</v>
      </c>
      <c r="C155" s="5" t="s">
        <v>325</v>
      </c>
      <c r="D155" s="6">
        <f>593983075945</f>
        <v>593983075945</v>
      </c>
      <c r="E155" s="5" t="s">
        <v>41</v>
      </c>
      <c r="F155" s="5" t="s">
        <v>15</v>
      </c>
    </row>
    <row r="156" spans="1:6" ht="15.75" customHeight="1" x14ac:dyDescent="0.3">
      <c r="A156" s="4">
        <v>155</v>
      </c>
      <c r="B156" s="5" t="s">
        <v>319</v>
      </c>
      <c r="C156" s="5" t="s">
        <v>326</v>
      </c>
      <c r="D156" s="6">
        <f>593925238009</f>
        <v>593925238009</v>
      </c>
      <c r="E156" s="5" t="s">
        <v>35</v>
      </c>
      <c r="F156" s="5" t="s">
        <v>23</v>
      </c>
    </row>
    <row r="157" spans="1:6" ht="15.75" customHeight="1" x14ac:dyDescent="0.3">
      <c r="A157" s="4">
        <v>156</v>
      </c>
      <c r="B157" s="5" t="s">
        <v>327</v>
      </c>
      <c r="C157" s="5" t="s">
        <v>328</v>
      </c>
      <c r="D157" s="6">
        <f>593951707730</f>
        <v>593951707730</v>
      </c>
      <c r="E157" s="5" t="s">
        <v>59</v>
      </c>
      <c r="F157" s="5" t="s">
        <v>23</v>
      </c>
    </row>
    <row r="158" spans="1:6" ht="15.75" customHeight="1" x14ac:dyDescent="0.3">
      <c r="A158" s="4">
        <v>157</v>
      </c>
      <c r="B158" s="5" t="s">
        <v>329</v>
      </c>
      <c r="C158" s="5" t="s">
        <v>199</v>
      </c>
      <c r="D158" s="6">
        <f>593966301432</f>
        <v>593966301432</v>
      </c>
      <c r="E158" s="5" t="s">
        <v>38</v>
      </c>
      <c r="F158" s="5" t="s">
        <v>15</v>
      </c>
    </row>
    <row r="159" spans="1:6" ht="15.75" customHeight="1" x14ac:dyDescent="0.3">
      <c r="A159" s="4">
        <v>158</v>
      </c>
      <c r="B159" s="5" t="s">
        <v>330</v>
      </c>
      <c r="C159" s="5" t="s">
        <v>331</v>
      </c>
      <c r="D159" s="6">
        <f>593936738614</f>
        <v>593936738614</v>
      </c>
      <c r="E159" s="5" t="s">
        <v>56</v>
      </c>
      <c r="F159" s="5" t="s">
        <v>10</v>
      </c>
    </row>
    <row r="160" spans="1:6" ht="15.75" customHeight="1" x14ac:dyDescent="0.3">
      <c r="A160" s="4">
        <v>159</v>
      </c>
      <c r="B160" s="5" t="s">
        <v>332</v>
      </c>
      <c r="C160" s="5" t="s">
        <v>333</v>
      </c>
      <c r="D160" s="6">
        <f>593910331897</f>
        <v>593910331897</v>
      </c>
      <c r="E160" s="5" t="s">
        <v>9</v>
      </c>
      <c r="F160" s="5" t="s">
        <v>23</v>
      </c>
    </row>
    <row r="161" spans="1:6" ht="15.75" customHeight="1" x14ac:dyDescent="0.3">
      <c r="A161" s="4">
        <v>160</v>
      </c>
      <c r="B161" s="5" t="s">
        <v>334</v>
      </c>
      <c r="C161" s="5" t="s">
        <v>335</v>
      </c>
      <c r="D161" s="6">
        <f>593992075692</f>
        <v>593992075692</v>
      </c>
      <c r="E161" s="5" t="s">
        <v>9</v>
      </c>
      <c r="F161" s="5" t="s">
        <v>23</v>
      </c>
    </row>
    <row r="162" spans="1:6" ht="15.75" customHeight="1" x14ac:dyDescent="0.3">
      <c r="A162" s="4">
        <v>161</v>
      </c>
      <c r="B162" s="5" t="s">
        <v>336</v>
      </c>
      <c r="C162" s="5" t="s">
        <v>337</v>
      </c>
      <c r="D162" s="6">
        <f>593972042595</f>
        <v>593972042595</v>
      </c>
      <c r="E162" s="5" t="s">
        <v>32</v>
      </c>
      <c r="F162" s="5" t="s">
        <v>23</v>
      </c>
    </row>
    <row r="163" spans="1:6" ht="15.75" customHeight="1" x14ac:dyDescent="0.3">
      <c r="A163" s="4">
        <v>162</v>
      </c>
      <c r="B163" s="5" t="s">
        <v>338</v>
      </c>
      <c r="C163" s="5" t="s">
        <v>339</v>
      </c>
      <c r="D163" s="6">
        <f>593913565905</f>
        <v>593913565905</v>
      </c>
      <c r="E163" s="5" t="s">
        <v>9</v>
      </c>
      <c r="F163" s="5" t="s">
        <v>15</v>
      </c>
    </row>
    <row r="164" spans="1:6" ht="15.75" customHeight="1" x14ac:dyDescent="0.3">
      <c r="A164" s="4">
        <v>163</v>
      </c>
      <c r="B164" s="5" t="s">
        <v>340</v>
      </c>
      <c r="C164" s="5" t="s">
        <v>295</v>
      </c>
      <c r="D164" s="6">
        <f>593990156129</f>
        <v>593990156129</v>
      </c>
      <c r="E164" s="5" t="s">
        <v>14</v>
      </c>
      <c r="F164" s="5" t="s">
        <v>15</v>
      </c>
    </row>
    <row r="165" spans="1:6" ht="15.75" customHeight="1" x14ac:dyDescent="0.3">
      <c r="A165" s="4">
        <v>164</v>
      </c>
      <c r="B165" s="5" t="s">
        <v>341</v>
      </c>
      <c r="C165" s="5" t="s">
        <v>342</v>
      </c>
      <c r="D165" s="6">
        <f>593917405670</f>
        <v>593917405670</v>
      </c>
      <c r="E165" s="5" t="s">
        <v>38</v>
      </c>
      <c r="F165" s="5" t="s">
        <v>23</v>
      </c>
    </row>
    <row r="166" spans="1:6" ht="15.75" customHeight="1" x14ac:dyDescent="0.3">
      <c r="A166" s="4">
        <v>165</v>
      </c>
      <c r="B166" s="5" t="s">
        <v>343</v>
      </c>
      <c r="C166" s="5" t="s">
        <v>344</v>
      </c>
      <c r="D166" s="6">
        <f>593922763762</f>
        <v>593922763762</v>
      </c>
      <c r="E166" s="5" t="s">
        <v>19</v>
      </c>
      <c r="F166" s="5" t="s">
        <v>23</v>
      </c>
    </row>
    <row r="167" spans="1:6" ht="15.75" customHeight="1" x14ac:dyDescent="0.3">
      <c r="A167" s="4">
        <v>166</v>
      </c>
      <c r="B167" s="5" t="s">
        <v>345</v>
      </c>
      <c r="C167" s="5" t="s">
        <v>346</v>
      </c>
      <c r="D167" s="6">
        <f>593936868452</f>
        <v>593936868452</v>
      </c>
      <c r="E167" s="5" t="s">
        <v>14</v>
      </c>
      <c r="F167" s="5" t="s">
        <v>29</v>
      </c>
    </row>
    <row r="168" spans="1:6" ht="15.75" customHeight="1" x14ac:dyDescent="0.3">
      <c r="A168" s="4">
        <v>167</v>
      </c>
      <c r="B168" s="5" t="s">
        <v>347</v>
      </c>
      <c r="C168" s="5" t="s">
        <v>348</v>
      </c>
      <c r="D168" s="6">
        <f>593948667533</f>
        <v>593948667533</v>
      </c>
      <c r="E168" s="5" t="s">
        <v>51</v>
      </c>
      <c r="F168" s="5" t="s">
        <v>23</v>
      </c>
    </row>
    <row r="169" spans="1:6" ht="15.75" customHeight="1" x14ac:dyDescent="0.3">
      <c r="A169" s="4">
        <v>168</v>
      </c>
      <c r="B169" s="5" t="s">
        <v>190</v>
      </c>
      <c r="C169" s="5" t="s">
        <v>349</v>
      </c>
      <c r="D169" s="6">
        <f>593915102769</f>
        <v>593915102769</v>
      </c>
      <c r="E169" s="5" t="s">
        <v>56</v>
      </c>
      <c r="F169" s="5" t="s">
        <v>15</v>
      </c>
    </row>
    <row r="170" spans="1:6" ht="15.75" customHeight="1" x14ac:dyDescent="0.3">
      <c r="A170" s="4">
        <v>169</v>
      </c>
      <c r="B170" s="5" t="s">
        <v>64</v>
      </c>
      <c r="C170" s="5" t="s">
        <v>350</v>
      </c>
      <c r="D170" s="6">
        <f>593947707839</f>
        <v>593947707839</v>
      </c>
      <c r="E170" s="5" t="s">
        <v>19</v>
      </c>
      <c r="F170" s="5" t="s">
        <v>29</v>
      </c>
    </row>
    <row r="171" spans="1:6" ht="15.75" customHeight="1" x14ac:dyDescent="0.3">
      <c r="A171" s="4">
        <v>170</v>
      </c>
      <c r="B171" s="5" t="s">
        <v>16</v>
      </c>
      <c r="C171" s="5" t="s">
        <v>351</v>
      </c>
      <c r="D171" s="6">
        <f>593975231991</f>
        <v>593975231991</v>
      </c>
      <c r="E171" s="5" t="s">
        <v>51</v>
      </c>
      <c r="F171" s="5" t="s">
        <v>29</v>
      </c>
    </row>
    <row r="172" spans="1:6" ht="15.75" customHeight="1" x14ac:dyDescent="0.3">
      <c r="A172" s="4">
        <v>171</v>
      </c>
      <c r="B172" s="5" t="s">
        <v>352</v>
      </c>
      <c r="C172" s="5" t="s">
        <v>353</v>
      </c>
      <c r="D172" s="6">
        <f>593996065674</f>
        <v>593996065674</v>
      </c>
      <c r="E172" s="5" t="s">
        <v>56</v>
      </c>
      <c r="F172" s="5" t="s">
        <v>23</v>
      </c>
    </row>
    <row r="173" spans="1:6" ht="15.75" customHeight="1" x14ac:dyDescent="0.3">
      <c r="A173" s="4">
        <v>172</v>
      </c>
      <c r="B173" s="5" t="s">
        <v>354</v>
      </c>
      <c r="C173" s="5" t="s">
        <v>355</v>
      </c>
      <c r="D173" s="6">
        <f>593982629637</f>
        <v>593982629637</v>
      </c>
      <c r="E173" s="5" t="s">
        <v>14</v>
      </c>
      <c r="F173" s="5" t="s">
        <v>15</v>
      </c>
    </row>
    <row r="174" spans="1:6" ht="15.75" customHeight="1" x14ac:dyDescent="0.3">
      <c r="A174" s="4">
        <v>173</v>
      </c>
      <c r="B174" s="5" t="s">
        <v>356</v>
      </c>
      <c r="C174" s="5" t="s">
        <v>357</v>
      </c>
      <c r="D174" s="6">
        <f>593987401992</f>
        <v>593987401992</v>
      </c>
      <c r="E174" s="5" t="s">
        <v>19</v>
      </c>
      <c r="F174" s="5" t="s">
        <v>29</v>
      </c>
    </row>
    <row r="175" spans="1:6" ht="15.75" customHeight="1" x14ac:dyDescent="0.3">
      <c r="A175" s="4">
        <v>174</v>
      </c>
      <c r="B175" s="5" t="s">
        <v>358</v>
      </c>
      <c r="C175" s="5" t="s">
        <v>273</v>
      </c>
      <c r="D175" s="6">
        <f>593987172140</f>
        <v>593987172140</v>
      </c>
      <c r="E175" s="5" t="s">
        <v>41</v>
      </c>
      <c r="F175" s="5" t="s">
        <v>15</v>
      </c>
    </row>
    <row r="176" spans="1:6" ht="15.75" customHeight="1" x14ac:dyDescent="0.3">
      <c r="A176" s="4">
        <v>175</v>
      </c>
      <c r="B176" s="5" t="s">
        <v>359</v>
      </c>
      <c r="C176" s="5" t="s">
        <v>360</v>
      </c>
      <c r="D176" s="6">
        <f>593991081581</f>
        <v>593991081581</v>
      </c>
      <c r="E176" s="5" t="s">
        <v>35</v>
      </c>
      <c r="F176" s="5" t="s">
        <v>10</v>
      </c>
    </row>
    <row r="177" spans="1:6" ht="15.75" customHeight="1" x14ac:dyDescent="0.3">
      <c r="A177" s="4">
        <v>176</v>
      </c>
      <c r="B177" s="5" t="s">
        <v>361</v>
      </c>
      <c r="C177" s="5" t="s">
        <v>362</v>
      </c>
      <c r="D177" s="6">
        <f>593957501498</f>
        <v>593957501498</v>
      </c>
      <c r="E177" s="5" t="s">
        <v>14</v>
      </c>
      <c r="F177" s="5" t="s">
        <v>15</v>
      </c>
    </row>
    <row r="178" spans="1:6" ht="15.75" customHeight="1" x14ac:dyDescent="0.3">
      <c r="A178" s="4">
        <v>177</v>
      </c>
      <c r="B178" s="5" t="s">
        <v>363</v>
      </c>
      <c r="C178" s="5" t="s">
        <v>364</v>
      </c>
      <c r="D178" s="6">
        <f>593956510928</f>
        <v>593956510928</v>
      </c>
      <c r="E178" s="5" t="s">
        <v>19</v>
      </c>
      <c r="F178" s="5" t="s">
        <v>10</v>
      </c>
    </row>
    <row r="179" spans="1:6" ht="15.75" customHeight="1" x14ac:dyDescent="0.3">
      <c r="A179" s="4">
        <v>178</v>
      </c>
      <c r="B179" s="5" t="s">
        <v>365</v>
      </c>
      <c r="C179" s="5" t="s">
        <v>366</v>
      </c>
      <c r="D179" s="6">
        <f>593945054580</f>
        <v>593945054580</v>
      </c>
      <c r="E179" s="5" t="s">
        <v>121</v>
      </c>
      <c r="F179" s="5" t="s">
        <v>10</v>
      </c>
    </row>
    <row r="180" spans="1:6" ht="15.75" customHeight="1" x14ac:dyDescent="0.3">
      <c r="A180" s="4">
        <v>179</v>
      </c>
      <c r="B180" s="5" t="s">
        <v>367</v>
      </c>
      <c r="C180" s="5" t="s">
        <v>368</v>
      </c>
      <c r="D180" s="6">
        <f>593951681429</f>
        <v>593951681429</v>
      </c>
      <c r="E180" s="5" t="s">
        <v>121</v>
      </c>
      <c r="F180" s="5" t="s">
        <v>23</v>
      </c>
    </row>
    <row r="181" spans="1:6" ht="15.75" customHeight="1" x14ac:dyDescent="0.3">
      <c r="A181" s="4">
        <v>180</v>
      </c>
      <c r="B181" s="5" t="s">
        <v>369</v>
      </c>
      <c r="C181" s="5" t="s">
        <v>264</v>
      </c>
      <c r="D181" s="6">
        <f>593947356802</f>
        <v>593947356802</v>
      </c>
      <c r="E181" s="5" t="s">
        <v>121</v>
      </c>
      <c r="F181" s="5" t="s">
        <v>23</v>
      </c>
    </row>
    <row r="182" spans="1:6" ht="15.75" customHeight="1" x14ac:dyDescent="0.3">
      <c r="A182" s="4">
        <v>181</v>
      </c>
      <c r="B182" s="5" t="s">
        <v>370</v>
      </c>
      <c r="C182" s="5" t="s">
        <v>371</v>
      </c>
      <c r="D182" s="6">
        <f>593973846241</f>
        <v>593973846241</v>
      </c>
      <c r="E182" s="5" t="s">
        <v>19</v>
      </c>
      <c r="F182" s="5" t="s">
        <v>15</v>
      </c>
    </row>
    <row r="183" spans="1:6" ht="15.75" customHeight="1" x14ac:dyDescent="0.3">
      <c r="A183" s="4">
        <v>182</v>
      </c>
      <c r="B183" s="5" t="s">
        <v>372</v>
      </c>
      <c r="C183" s="5" t="s">
        <v>373</v>
      </c>
      <c r="D183" s="6">
        <f>593957025869</f>
        <v>593957025869</v>
      </c>
      <c r="E183" s="5" t="s">
        <v>51</v>
      </c>
      <c r="F183" s="5" t="s">
        <v>29</v>
      </c>
    </row>
    <row r="184" spans="1:6" ht="15.75" customHeight="1" x14ac:dyDescent="0.3">
      <c r="A184" s="4">
        <v>183</v>
      </c>
      <c r="B184" s="5" t="s">
        <v>374</v>
      </c>
      <c r="C184" s="5" t="s">
        <v>375</v>
      </c>
      <c r="D184" s="6">
        <f>593958329182</f>
        <v>593958329182</v>
      </c>
      <c r="E184" s="5" t="s">
        <v>41</v>
      </c>
      <c r="F184" s="5" t="s">
        <v>15</v>
      </c>
    </row>
    <row r="185" spans="1:6" ht="15.75" customHeight="1" x14ac:dyDescent="0.3">
      <c r="A185" s="4">
        <v>184</v>
      </c>
      <c r="B185" s="5" t="s">
        <v>376</v>
      </c>
      <c r="C185" s="5" t="s">
        <v>377</v>
      </c>
      <c r="D185" s="6">
        <f>593931408217</f>
        <v>593931408217</v>
      </c>
      <c r="E185" s="5" t="s">
        <v>66</v>
      </c>
      <c r="F185" s="5" t="s">
        <v>10</v>
      </c>
    </row>
    <row r="186" spans="1:6" ht="15.75" customHeight="1" x14ac:dyDescent="0.3">
      <c r="A186" s="4">
        <v>185</v>
      </c>
      <c r="B186" s="5" t="s">
        <v>378</v>
      </c>
      <c r="C186" s="5" t="s">
        <v>379</v>
      </c>
      <c r="D186" s="6">
        <f>593985450915</f>
        <v>593985450915</v>
      </c>
      <c r="E186" s="5" t="s">
        <v>51</v>
      </c>
      <c r="F186" s="5" t="s">
        <v>15</v>
      </c>
    </row>
    <row r="187" spans="1:6" ht="15.75" customHeight="1" x14ac:dyDescent="0.3">
      <c r="A187" s="4">
        <v>186</v>
      </c>
      <c r="B187" s="5" t="s">
        <v>138</v>
      </c>
      <c r="C187" s="5" t="s">
        <v>380</v>
      </c>
      <c r="D187" s="6">
        <f>593956094268</f>
        <v>593956094268</v>
      </c>
      <c r="E187" s="5" t="s">
        <v>51</v>
      </c>
      <c r="F187" s="5" t="s">
        <v>15</v>
      </c>
    </row>
    <row r="188" spans="1:6" ht="15.75" customHeight="1" x14ac:dyDescent="0.3">
      <c r="A188" s="4">
        <v>187</v>
      </c>
      <c r="B188" s="5" t="s">
        <v>381</v>
      </c>
      <c r="C188" s="5" t="s">
        <v>382</v>
      </c>
      <c r="D188" s="6">
        <f>593943550639</f>
        <v>593943550639</v>
      </c>
      <c r="E188" s="5" t="s">
        <v>51</v>
      </c>
      <c r="F188" s="5" t="s">
        <v>10</v>
      </c>
    </row>
    <row r="189" spans="1:6" ht="15.75" customHeight="1" x14ac:dyDescent="0.3">
      <c r="A189" s="4">
        <v>188</v>
      </c>
      <c r="B189" s="5" t="s">
        <v>383</v>
      </c>
      <c r="C189" s="5" t="s">
        <v>344</v>
      </c>
      <c r="D189" s="6">
        <f>593941241255</f>
        <v>593941241255</v>
      </c>
      <c r="E189" s="5" t="s">
        <v>56</v>
      </c>
      <c r="F189" s="5" t="s">
        <v>23</v>
      </c>
    </row>
    <row r="190" spans="1:6" ht="15.75" customHeight="1" x14ac:dyDescent="0.3">
      <c r="A190" s="4">
        <v>189</v>
      </c>
      <c r="B190" s="5" t="s">
        <v>384</v>
      </c>
      <c r="C190" s="5" t="s">
        <v>262</v>
      </c>
      <c r="D190" s="6">
        <f>593925242775</f>
        <v>593925242775</v>
      </c>
      <c r="E190" s="5" t="s">
        <v>14</v>
      </c>
      <c r="F190" s="5" t="s">
        <v>23</v>
      </c>
    </row>
    <row r="191" spans="1:6" ht="15.75" customHeight="1" x14ac:dyDescent="0.3">
      <c r="A191" s="4">
        <v>190</v>
      </c>
      <c r="B191" s="5" t="s">
        <v>385</v>
      </c>
      <c r="C191" s="5" t="s">
        <v>386</v>
      </c>
      <c r="D191" s="6">
        <f>593994370540</f>
        <v>593994370540</v>
      </c>
      <c r="E191" s="5" t="s">
        <v>19</v>
      </c>
      <c r="F191" s="5" t="s">
        <v>23</v>
      </c>
    </row>
    <row r="192" spans="1:6" ht="15.75" customHeight="1" x14ac:dyDescent="0.3">
      <c r="A192" s="4">
        <v>191</v>
      </c>
      <c r="B192" s="5" t="s">
        <v>387</v>
      </c>
      <c r="C192" s="5" t="s">
        <v>388</v>
      </c>
      <c r="D192" s="6">
        <f>593934909690</f>
        <v>593934909690</v>
      </c>
      <c r="E192" s="5" t="s">
        <v>19</v>
      </c>
      <c r="F192" s="5" t="s">
        <v>29</v>
      </c>
    </row>
    <row r="193" spans="1:6" ht="15.75" customHeight="1" x14ac:dyDescent="0.3">
      <c r="A193" s="4">
        <v>192</v>
      </c>
      <c r="B193" s="5" t="s">
        <v>389</v>
      </c>
      <c r="C193" s="5" t="s">
        <v>242</v>
      </c>
      <c r="D193" s="6">
        <f>593915866871</f>
        <v>593915866871</v>
      </c>
      <c r="E193" s="5" t="s">
        <v>44</v>
      </c>
      <c r="F193" s="5" t="s">
        <v>15</v>
      </c>
    </row>
    <row r="194" spans="1:6" ht="15.75" customHeight="1" x14ac:dyDescent="0.3">
      <c r="A194" s="4">
        <v>193</v>
      </c>
      <c r="B194" s="5" t="s">
        <v>390</v>
      </c>
      <c r="C194" s="5" t="s">
        <v>391</v>
      </c>
      <c r="D194" s="6">
        <f>593987485315</f>
        <v>593987485315</v>
      </c>
      <c r="E194" s="5" t="s">
        <v>9</v>
      </c>
      <c r="F194" s="5" t="s">
        <v>23</v>
      </c>
    </row>
    <row r="195" spans="1:6" ht="15.75" customHeight="1" x14ac:dyDescent="0.3">
      <c r="A195" s="4">
        <v>194</v>
      </c>
      <c r="B195" s="5" t="s">
        <v>392</v>
      </c>
      <c r="C195" s="5" t="s">
        <v>393</v>
      </c>
      <c r="D195" s="6">
        <f>593973267211</f>
        <v>593973267211</v>
      </c>
      <c r="E195" s="5" t="s">
        <v>41</v>
      </c>
      <c r="F195" s="5" t="s">
        <v>10</v>
      </c>
    </row>
    <row r="196" spans="1:6" ht="15.75" customHeight="1" x14ac:dyDescent="0.3">
      <c r="A196" s="4">
        <v>195</v>
      </c>
      <c r="B196" s="5" t="s">
        <v>394</v>
      </c>
      <c r="C196" s="5" t="s">
        <v>395</v>
      </c>
      <c r="D196" s="6">
        <f>593991250439</f>
        <v>593991250439</v>
      </c>
      <c r="E196" s="5" t="s">
        <v>51</v>
      </c>
      <c r="F196" s="5" t="s">
        <v>29</v>
      </c>
    </row>
    <row r="197" spans="1:6" ht="15.75" customHeight="1" x14ac:dyDescent="0.3">
      <c r="A197" s="4">
        <v>196</v>
      </c>
      <c r="B197" s="5" t="s">
        <v>396</v>
      </c>
      <c r="C197" s="5" t="s">
        <v>397</v>
      </c>
      <c r="D197" s="6">
        <f>593993969010</f>
        <v>593993969010</v>
      </c>
      <c r="E197" s="5" t="s">
        <v>56</v>
      </c>
      <c r="F197" s="5" t="s">
        <v>10</v>
      </c>
    </row>
    <row r="198" spans="1:6" ht="15.75" customHeight="1" x14ac:dyDescent="0.3">
      <c r="A198" s="4">
        <v>197</v>
      </c>
      <c r="B198" s="5" t="s">
        <v>398</v>
      </c>
      <c r="C198" s="5" t="s">
        <v>399</v>
      </c>
      <c r="D198" s="6">
        <f>593970875103</f>
        <v>593970875103</v>
      </c>
      <c r="E198" s="5" t="s">
        <v>35</v>
      </c>
      <c r="F198" s="5" t="s">
        <v>23</v>
      </c>
    </row>
    <row r="199" spans="1:6" ht="15.75" customHeight="1" x14ac:dyDescent="0.3">
      <c r="A199" s="4">
        <v>198</v>
      </c>
      <c r="B199" s="5" t="s">
        <v>400</v>
      </c>
      <c r="C199" s="5" t="s">
        <v>401</v>
      </c>
      <c r="D199" s="6">
        <f>593977772339</f>
        <v>593977772339</v>
      </c>
      <c r="E199" s="5" t="s">
        <v>51</v>
      </c>
      <c r="F199" s="5" t="s">
        <v>15</v>
      </c>
    </row>
    <row r="200" spans="1:6" ht="15.75" customHeight="1" x14ac:dyDescent="0.3">
      <c r="A200" s="4">
        <v>199</v>
      </c>
      <c r="B200" s="5" t="s">
        <v>93</v>
      </c>
      <c r="C200" s="5" t="s">
        <v>402</v>
      </c>
      <c r="D200" s="6">
        <f>593943393328</f>
        <v>593943393328</v>
      </c>
      <c r="E200" s="5" t="s">
        <v>51</v>
      </c>
      <c r="F200" s="5" t="s">
        <v>29</v>
      </c>
    </row>
    <row r="201" spans="1:6" ht="15.75" customHeight="1" x14ac:dyDescent="0.3">
      <c r="A201" s="4">
        <v>200</v>
      </c>
      <c r="B201" s="5" t="s">
        <v>403</v>
      </c>
      <c r="C201" s="5" t="s">
        <v>404</v>
      </c>
      <c r="D201" s="6">
        <f>593964980587</f>
        <v>593964980587</v>
      </c>
      <c r="E201" s="5" t="s">
        <v>35</v>
      </c>
      <c r="F201" s="5" t="s">
        <v>29</v>
      </c>
    </row>
    <row r="202" spans="1:6" ht="15.75" customHeight="1" x14ac:dyDescent="0.3">
      <c r="A202" s="4">
        <v>201</v>
      </c>
      <c r="B202" s="5" t="s">
        <v>405</v>
      </c>
      <c r="C202" s="5" t="s">
        <v>406</v>
      </c>
      <c r="D202" s="6">
        <f>593978754947</f>
        <v>593978754947</v>
      </c>
      <c r="E202" s="5" t="s">
        <v>56</v>
      </c>
      <c r="F202" s="5" t="s">
        <v>15</v>
      </c>
    </row>
    <row r="203" spans="1:6" ht="15.75" customHeight="1" x14ac:dyDescent="0.3">
      <c r="A203" s="4">
        <v>202</v>
      </c>
      <c r="B203" s="5" t="s">
        <v>407</v>
      </c>
      <c r="C203" s="5" t="s">
        <v>408</v>
      </c>
      <c r="D203" s="6">
        <f>593965686314</f>
        <v>593965686314</v>
      </c>
      <c r="E203" s="5" t="s">
        <v>9</v>
      </c>
      <c r="F203" s="5" t="s">
        <v>10</v>
      </c>
    </row>
    <row r="204" spans="1:6" ht="15.75" customHeight="1" x14ac:dyDescent="0.3">
      <c r="A204" s="4">
        <v>203</v>
      </c>
      <c r="B204" s="5" t="s">
        <v>409</v>
      </c>
      <c r="C204" s="5" t="s">
        <v>410</v>
      </c>
      <c r="D204" s="6">
        <f>593980767753</f>
        <v>593980767753</v>
      </c>
      <c r="E204" s="5" t="s">
        <v>44</v>
      </c>
      <c r="F204" s="5" t="s">
        <v>29</v>
      </c>
    </row>
    <row r="205" spans="1:6" ht="15.75" customHeight="1" x14ac:dyDescent="0.3">
      <c r="A205" s="4">
        <v>204</v>
      </c>
      <c r="B205" s="5" t="s">
        <v>411</v>
      </c>
      <c r="C205" s="5" t="s">
        <v>412</v>
      </c>
      <c r="D205" s="6">
        <f>593960698583</f>
        <v>593960698583</v>
      </c>
      <c r="E205" s="5" t="s">
        <v>41</v>
      </c>
      <c r="F205" s="5" t="s">
        <v>10</v>
      </c>
    </row>
    <row r="206" spans="1:6" ht="15.75" customHeight="1" x14ac:dyDescent="0.3">
      <c r="A206" s="4">
        <v>205</v>
      </c>
      <c r="B206" s="5" t="s">
        <v>413</v>
      </c>
      <c r="C206" s="5" t="s">
        <v>199</v>
      </c>
      <c r="D206" s="6">
        <f>593977347046</f>
        <v>593977347046</v>
      </c>
      <c r="E206" s="5" t="s">
        <v>121</v>
      </c>
      <c r="F206" s="5" t="s">
        <v>23</v>
      </c>
    </row>
    <row r="207" spans="1:6" ht="15.75" customHeight="1" x14ac:dyDescent="0.3">
      <c r="A207" s="4">
        <v>206</v>
      </c>
      <c r="B207" s="5" t="s">
        <v>36</v>
      </c>
      <c r="C207" s="5" t="s">
        <v>414</v>
      </c>
      <c r="D207" s="6">
        <f>593922963900</f>
        <v>593922963900</v>
      </c>
      <c r="E207" s="5" t="s">
        <v>41</v>
      </c>
      <c r="F207" s="5" t="s">
        <v>29</v>
      </c>
    </row>
    <row r="208" spans="1:6" ht="15.75" customHeight="1" x14ac:dyDescent="0.3">
      <c r="A208" s="4">
        <v>207</v>
      </c>
      <c r="B208" s="5" t="s">
        <v>415</v>
      </c>
      <c r="C208" s="5" t="s">
        <v>416</v>
      </c>
      <c r="D208" s="6">
        <f>593946913884</f>
        <v>593946913884</v>
      </c>
      <c r="E208" s="5" t="s">
        <v>44</v>
      </c>
      <c r="F208" s="5" t="s">
        <v>15</v>
      </c>
    </row>
    <row r="209" spans="1:6" ht="15.75" customHeight="1" x14ac:dyDescent="0.3">
      <c r="A209" s="4">
        <v>208</v>
      </c>
      <c r="B209" s="5" t="s">
        <v>417</v>
      </c>
      <c r="C209" s="5" t="s">
        <v>418</v>
      </c>
      <c r="D209" s="6">
        <f>593932047988</f>
        <v>593932047988</v>
      </c>
      <c r="E209" s="5" t="s">
        <v>35</v>
      </c>
      <c r="F209" s="5" t="s">
        <v>23</v>
      </c>
    </row>
    <row r="210" spans="1:6" ht="15.75" customHeight="1" x14ac:dyDescent="0.3">
      <c r="A210" s="4">
        <v>209</v>
      </c>
      <c r="B210" s="5" t="s">
        <v>419</v>
      </c>
      <c r="C210" s="5" t="s">
        <v>420</v>
      </c>
      <c r="D210" s="6">
        <f>593969257792</f>
        <v>593969257792</v>
      </c>
      <c r="E210" s="5" t="s">
        <v>59</v>
      </c>
      <c r="F210" s="5" t="s">
        <v>10</v>
      </c>
    </row>
    <row r="211" spans="1:6" ht="15.75" customHeight="1" x14ac:dyDescent="0.3">
      <c r="A211" s="4">
        <v>210</v>
      </c>
      <c r="B211" s="5" t="s">
        <v>421</v>
      </c>
      <c r="C211" s="5" t="s">
        <v>422</v>
      </c>
      <c r="D211" s="6">
        <f>593925308614</f>
        <v>593925308614</v>
      </c>
      <c r="E211" s="5" t="s">
        <v>41</v>
      </c>
      <c r="F211" s="5" t="s">
        <v>10</v>
      </c>
    </row>
    <row r="212" spans="1:6" ht="15.75" customHeight="1" x14ac:dyDescent="0.3">
      <c r="A212" s="4">
        <v>211</v>
      </c>
      <c r="B212" s="5" t="s">
        <v>423</v>
      </c>
      <c r="C212" s="5" t="s">
        <v>424</v>
      </c>
      <c r="D212" s="6">
        <f>593961687462</f>
        <v>593961687462</v>
      </c>
      <c r="E212" s="5" t="s">
        <v>38</v>
      </c>
      <c r="F212" s="5" t="s">
        <v>15</v>
      </c>
    </row>
    <row r="213" spans="1:6" ht="15.75" customHeight="1" x14ac:dyDescent="0.3">
      <c r="A213" s="4">
        <v>212</v>
      </c>
      <c r="B213" s="5" t="s">
        <v>425</v>
      </c>
      <c r="C213" s="5" t="s">
        <v>426</v>
      </c>
      <c r="D213" s="6">
        <f>593935782632</f>
        <v>593935782632</v>
      </c>
      <c r="E213" s="5" t="s">
        <v>38</v>
      </c>
      <c r="F213" s="5" t="s">
        <v>23</v>
      </c>
    </row>
    <row r="214" spans="1:6" ht="15.75" customHeight="1" x14ac:dyDescent="0.3">
      <c r="A214" s="4">
        <v>213</v>
      </c>
      <c r="B214" s="5" t="s">
        <v>156</v>
      </c>
      <c r="C214" s="5" t="s">
        <v>427</v>
      </c>
      <c r="D214" s="6">
        <f>593978555709</f>
        <v>593978555709</v>
      </c>
      <c r="E214" s="5" t="s">
        <v>9</v>
      </c>
      <c r="F214" s="5" t="s">
        <v>10</v>
      </c>
    </row>
    <row r="215" spans="1:6" ht="15.75" customHeight="1" x14ac:dyDescent="0.3">
      <c r="A215" s="4">
        <v>214</v>
      </c>
      <c r="B215" s="5" t="s">
        <v>71</v>
      </c>
      <c r="C215" s="5" t="s">
        <v>428</v>
      </c>
      <c r="D215" s="6">
        <f>593918985264</f>
        <v>593918985264</v>
      </c>
      <c r="E215" s="5" t="s">
        <v>121</v>
      </c>
      <c r="F215" s="5" t="s">
        <v>23</v>
      </c>
    </row>
    <row r="216" spans="1:6" ht="15.75" customHeight="1" x14ac:dyDescent="0.3">
      <c r="A216" s="4">
        <v>215</v>
      </c>
      <c r="B216" s="5" t="s">
        <v>429</v>
      </c>
      <c r="C216" s="5" t="s">
        <v>430</v>
      </c>
      <c r="D216" s="6">
        <f>593933082864</f>
        <v>593933082864</v>
      </c>
      <c r="E216" s="5" t="s">
        <v>19</v>
      </c>
      <c r="F216" s="5" t="s">
        <v>10</v>
      </c>
    </row>
    <row r="217" spans="1:6" ht="15.75" customHeight="1" x14ac:dyDescent="0.3">
      <c r="A217" s="4">
        <v>216</v>
      </c>
      <c r="B217" s="5" t="s">
        <v>340</v>
      </c>
      <c r="C217" s="5" t="s">
        <v>185</v>
      </c>
      <c r="D217" s="6">
        <f>593935344831</f>
        <v>593935344831</v>
      </c>
      <c r="E217" s="5" t="s">
        <v>51</v>
      </c>
      <c r="F217" s="5" t="s">
        <v>15</v>
      </c>
    </row>
    <row r="218" spans="1:6" ht="15.75" customHeight="1" x14ac:dyDescent="0.3">
      <c r="A218" s="4">
        <v>217</v>
      </c>
      <c r="B218" s="5" t="s">
        <v>431</v>
      </c>
      <c r="C218" s="5" t="s">
        <v>432</v>
      </c>
      <c r="D218" s="6">
        <f>593970219790</f>
        <v>593970219790</v>
      </c>
      <c r="E218" s="5" t="s">
        <v>14</v>
      </c>
      <c r="F218" s="5" t="s">
        <v>15</v>
      </c>
    </row>
    <row r="219" spans="1:6" ht="15.75" customHeight="1" x14ac:dyDescent="0.3">
      <c r="A219" s="4">
        <v>218</v>
      </c>
      <c r="B219" s="5" t="s">
        <v>433</v>
      </c>
      <c r="C219" s="5" t="s">
        <v>426</v>
      </c>
      <c r="D219" s="6">
        <f>593928713378</f>
        <v>593928713378</v>
      </c>
      <c r="E219" s="5" t="s">
        <v>9</v>
      </c>
      <c r="F219" s="5" t="s">
        <v>15</v>
      </c>
    </row>
    <row r="220" spans="1:6" ht="15.75" customHeight="1" x14ac:dyDescent="0.3">
      <c r="A220" s="4">
        <v>219</v>
      </c>
      <c r="B220" s="5" t="s">
        <v>434</v>
      </c>
      <c r="C220" s="5" t="s">
        <v>435</v>
      </c>
      <c r="D220" s="6">
        <f>593929000327</f>
        <v>593929000327</v>
      </c>
      <c r="E220" s="5" t="s">
        <v>14</v>
      </c>
      <c r="F220" s="5" t="s">
        <v>15</v>
      </c>
    </row>
    <row r="221" spans="1:6" ht="15.75" customHeight="1" x14ac:dyDescent="0.3">
      <c r="A221" s="4">
        <v>220</v>
      </c>
      <c r="B221" s="5" t="s">
        <v>436</v>
      </c>
      <c r="C221" s="5" t="s">
        <v>386</v>
      </c>
      <c r="D221" s="6">
        <f>593924075545</f>
        <v>593924075545</v>
      </c>
      <c r="E221" s="5" t="s">
        <v>66</v>
      </c>
      <c r="F221" s="5" t="s">
        <v>15</v>
      </c>
    </row>
    <row r="222" spans="1:6" ht="15.75" customHeight="1" x14ac:dyDescent="0.3">
      <c r="A222" s="4">
        <v>221</v>
      </c>
      <c r="B222" s="5" t="s">
        <v>437</v>
      </c>
      <c r="C222" s="5" t="s">
        <v>368</v>
      </c>
      <c r="D222" s="6">
        <f>593948081845</f>
        <v>593948081845</v>
      </c>
      <c r="E222" s="5" t="s">
        <v>41</v>
      </c>
      <c r="F222" s="5" t="s">
        <v>23</v>
      </c>
    </row>
    <row r="223" spans="1:6" ht="15.75" customHeight="1" x14ac:dyDescent="0.3">
      <c r="A223" s="4">
        <v>222</v>
      </c>
      <c r="B223" s="5" t="s">
        <v>226</v>
      </c>
      <c r="C223" s="5" t="s">
        <v>438</v>
      </c>
      <c r="D223" s="6">
        <f>593928086178</f>
        <v>593928086178</v>
      </c>
      <c r="E223" s="5" t="s">
        <v>38</v>
      </c>
      <c r="F223" s="5" t="s">
        <v>15</v>
      </c>
    </row>
    <row r="224" spans="1:6" ht="15.75" customHeight="1" x14ac:dyDescent="0.3">
      <c r="A224" s="4">
        <v>223</v>
      </c>
      <c r="B224" s="5" t="s">
        <v>439</v>
      </c>
      <c r="C224" s="5" t="s">
        <v>440</v>
      </c>
      <c r="D224" s="6">
        <f>593998698829</f>
        <v>593998698829</v>
      </c>
      <c r="E224" s="5" t="s">
        <v>41</v>
      </c>
      <c r="F224" s="5" t="s">
        <v>10</v>
      </c>
    </row>
    <row r="225" spans="1:6" ht="15.75" customHeight="1" x14ac:dyDescent="0.3">
      <c r="A225" s="4">
        <v>224</v>
      </c>
      <c r="B225" s="5" t="s">
        <v>441</v>
      </c>
      <c r="C225" s="5" t="s">
        <v>442</v>
      </c>
      <c r="D225" s="6">
        <f>593989418320</f>
        <v>593989418320</v>
      </c>
      <c r="E225" s="5" t="s">
        <v>9</v>
      </c>
      <c r="F225" s="5" t="s">
        <v>23</v>
      </c>
    </row>
    <row r="226" spans="1:6" ht="15.75" customHeight="1" x14ac:dyDescent="0.3">
      <c r="A226" s="4">
        <v>225</v>
      </c>
      <c r="B226" s="5" t="s">
        <v>443</v>
      </c>
      <c r="C226" s="5" t="s">
        <v>444</v>
      </c>
      <c r="D226" s="6">
        <f>593978402732</f>
        <v>593978402732</v>
      </c>
      <c r="E226" s="5" t="s">
        <v>56</v>
      </c>
      <c r="F226" s="5" t="s">
        <v>15</v>
      </c>
    </row>
    <row r="227" spans="1:6" ht="15.75" customHeight="1" x14ac:dyDescent="0.3">
      <c r="A227" s="4">
        <v>226</v>
      </c>
      <c r="B227" s="5" t="s">
        <v>445</v>
      </c>
      <c r="C227" s="5" t="s">
        <v>446</v>
      </c>
      <c r="D227" s="6">
        <f>593977564225</f>
        <v>593977564225</v>
      </c>
      <c r="E227" s="5" t="s">
        <v>56</v>
      </c>
      <c r="F227" s="5" t="s">
        <v>29</v>
      </c>
    </row>
    <row r="228" spans="1:6" ht="15.75" customHeight="1" x14ac:dyDescent="0.3">
      <c r="A228" s="4">
        <v>227</v>
      </c>
      <c r="B228" s="5" t="s">
        <v>447</v>
      </c>
      <c r="C228" s="5" t="s">
        <v>448</v>
      </c>
      <c r="D228" s="6">
        <f>593913565564</f>
        <v>593913565564</v>
      </c>
      <c r="E228" s="5" t="s">
        <v>41</v>
      </c>
      <c r="F228" s="5" t="s">
        <v>23</v>
      </c>
    </row>
    <row r="229" spans="1:6" ht="15.75" customHeight="1" x14ac:dyDescent="0.3">
      <c r="A229" s="4">
        <v>228</v>
      </c>
      <c r="B229" s="5" t="s">
        <v>449</v>
      </c>
      <c r="C229" s="5" t="s">
        <v>450</v>
      </c>
      <c r="D229" s="6">
        <f>593917594495</f>
        <v>593917594495</v>
      </c>
      <c r="E229" s="5" t="s">
        <v>38</v>
      </c>
      <c r="F229" s="5" t="s">
        <v>23</v>
      </c>
    </row>
    <row r="230" spans="1:6" ht="15.75" customHeight="1" x14ac:dyDescent="0.3">
      <c r="A230" s="4">
        <v>229</v>
      </c>
      <c r="B230" s="5" t="s">
        <v>451</v>
      </c>
      <c r="C230" s="5" t="s">
        <v>452</v>
      </c>
      <c r="D230" s="6">
        <f>593933841847</f>
        <v>593933841847</v>
      </c>
      <c r="E230" s="5" t="s">
        <v>41</v>
      </c>
      <c r="F230" s="5" t="s">
        <v>10</v>
      </c>
    </row>
    <row r="231" spans="1:6" ht="15.75" customHeight="1" x14ac:dyDescent="0.3">
      <c r="A231" s="4">
        <v>230</v>
      </c>
      <c r="B231" s="5" t="s">
        <v>453</v>
      </c>
      <c r="C231" s="5" t="s">
        <v>454</v>
      </c>
      <c r="D231" s="6">
        <f>593962443778</f>
        <v>593962443778</v>
      </c>
      <c r="E231" s="5" t="s">
        <v>56</v>
      </c>
      <c r="F231" s="5" t="s">
        <v>10</v>
      </c>
    </row>
    <row r="232" spans="1:6" ht="15.75" customHeight="1" x14ac:dyDescent="0.3">
      <c r="A232" s="4">
        <v>231</v>
      </c>
      <c r="B232" s="5" t="s">
        <v>455</v>
      </c>
      <c r="C232" s="5" t="s">
        <v>456</v>
      </c>
      <c r="D232" s="6">
        <f>593929595526</f>
        <v>593929595526</v>
      </c>
      <c r="E232" s="5" t="s">
        <v>51</v>
      </c>
      <c r="F232" s="5" t="s">
        <v>23</v>
      </c>
    </row>
    <row r="233" spans="1:6" ht="15.75" customHeight="1" x14ac:dyDescent="0.3">
      <c r="A233" s="4">
        <v>232</v>
      </c>
      <c r="B233" s="5" t="s">
        <v>457</v>
      </c>
      <c r="C233" s="5" t="s">
        <v>458</v>
      </c>
      <c r="D233" s="6">
        <f>593984721994</f>
        <v>593984721994</v>
      </c>
      <c r="E233" s="5" t="s">
        <v>9</v>
      </c>
      <c r="F233" s="5" t="s">
        <v>23</v>
      </c>
    </row>
    <row r="234" spans="1:6" ht="15.75" customHeight="1" x14ac:dyDescent="0.3">
      <c r="A234" s="4">
        <v>233</v>
      </c>
      <c r="B234" s="5" t="s">
        <v>459</v>
      </c>
      <c r="C234" s="5" t="s">
        <v>362</v>
      </c>
      <c r="D234" s="6">
        <f>593985615786</f>
        <v>593985615786</v>
      </c>
      <c r="E234" s="5" t="s">
        <v>44</v>
      </c>
      <c r="F234" s="5" t="s">
        <v>15</v>
      </c>
    </row>
    <row r="235" spans="1:6" ht="15.75" customHeight="1" x14ac:dyDescent="0.3">
      <c r="A235" s="4">
        <v>234</v>
      </c>
      <c r="B235" s="5" t="s">
        <v>460</v>
      </c>
      <c r="C235" s="5" t="s">
        <v>203</v>
      </c>
      <c r="D235" s="6">
        <f>593914540733</f>
        <v>593914540733</v>
      </c>
      <c r="E235" s="5" t="s">
        <v>35</v>
      </c>
      <c r="F235" s="5" t="s">
        <v>23</v>
      </c>
    </row>
    <row r="236" spans="1:6" ht="15.75" customHeight="1" x14ac:dyDescent="0.3">
      <c r="A236" s="4">
        <v>235</v>
      </c>
      <c r="B236" s="5" t="s">
        <v>396</v>
      </c>
      <c r="C236" s="5" t="s">
        <v>461</v>
      </c>
      <c r="D236" s="6">
        <f>593972748067</f>
        <v>593972748067</v>
      </c>
      <c r="E236" s="5" t="s">
        <v>14</v>
      </c>
      <c r="F236" s="5" t="s">
        <v>10</v>
      </c>
    </row>
    <row r="237" spans="1:6" ht="15.75" customHeight="1" x14ac:dyDescent="0.3">
      <c r="A237" s="4">
        <v>236</v>
      </c>
      <c r="B237" s="5" t="s">
        <v>462</v>
      </c>
      <c r="C237" s="5" t="s">
        <v>362</v>
      </c>
      <c r="D237" s="6">
        <f>593921196873</f>
        <v>593921196873</v>
      </c>
      <c r="E237" s="5" t="s">
        <v>14</v>
      </c>
      <c r="F237" s="5" t="s">
        <v>29</v>
      </c>
    </row>
    <row r="238" spans="1:6" ht="15.75" customHeight="1" x14ac:dyDescent="0.3">
      <c r="A238" s="4">
        <v>237</v>
      </c>
      <c r="B238" s="5" t="s">
        <v>122</v>
      </c>
      <c r="C238" s="5" t="s">
        <v>463</v>
      </c>
      <c r="D238" s="6">
        <f>593926464306</f>
        <v>593926464306</v>
      </c>
      <c r="E238" s="5" t="s">
        <v>66</v>
      </c>
      <c r="F238" s="5" t="s">
        <v>15</v>
      </c>
    </row>
    <row r="239" spans="1:6" ht="15.75" customHeight="1" x14ac:dyDescent="0.3">
      <c r="A239" s="4">
        <v>238</v>
      </c>
      <c r="B239" s="5" t="s">
        <v>464</v>
      </c>
      <c r="C239" s="5" t="s">
        <v>465</v>
      </c>
      <c r="D239" s="6">
        <f>593983213081</f>
        <v>593983213081</v>
      </c>
      <c r="E239" s="5" t="s">
        <v>51</v>
      </c>
      <c r="F239" s="5" t="s">
        <v>10</v>
      </c>
    </row>
    <row r="240" spans="1:6" ht="15.75" customHeight="1" x14ac:dyDescent="0.3">
      <c r="A240" s="4">
        <v>239</v>
      </c>
      <c r="B240" s="5" t="s">
        <v>466</v>
      </c>
      <c r="C240" s="5" t="s">
        <v>467</v>
      </c>
      <c r="D240" s="6">
        <f>593920514320</f>
        <v>593920514320</v>
      </c>
      <c r="E240" s="5" t="s">
        <v>66</v>
      </c>
      <c r="F240" s="5" t="s">
        <v>10</v>
      </c>
    </row>
    <row r="241" spans="1:6" ht="15.75" customHeight="1" x14ac:dyDescent="0.3">
      <c r="A241" s="4">
        <v>240</v>
      </c>
      <c r="B241" s="5" t="s">
        <v>468</v>
      </c>
      <c r="C241" s="5" t="s">
        <v>323</v>
      </c>
      <c r="D241" s="6">
        <f>593969355929</f>
        <v>593969355929</v>
      </c>
      <c r="E241" s="5" t="s">
        <v>35</v>
      </c>
      <c r="F241" s="5" t="s">
        <v>29</v>
      </c>
    </row>
    <row r="242" spans="1:6" ht="15.75" customHeight="1" x14ac:dyDescent="0.3">
      <c r="A242" s="4">
        <v>241</v>
      </c>
      <c r="B242" s="5" t="s">
        <v>358</v>
      </c>
      <c r="C242" s="5" t="s">
        <v>469</v>
      </c>
      <c r="D242" s="6">
        <f>593953057807</f>
        <v>593953057807</v>
      </c>
      <c r="E242" s="5" t="s">
        <v>51</v>
      </c>
      <c r="F242" s="5" t="s">
        <v>10</v>
      </c>
    </row>
    <row r="243" spans="1:6" ht="15.75" customHeight="1" x14ac:dyDescent="0.3">
      <c r="A243" s="4">
        <v>242</v>
      </c>
      <c r="B243" s="5" t="s">
        <v>470</v>
      </c>
      <c r="C243" s="5" t="s">
        <v>471</v>
      </c>
      <c r="D243" s="6">
        <f>593989582722</f>
        <v>593989582722</v>
      </c>
      <c r="E243" s="5" t="s">
        <v>32</v>
      </c>
      <c r="F243" s="5" t="s">
        <v>29</v>
      </c>
    </row>
    <row r="244" spans="1:6" ht="15.75" customHeight="1" x14ac:dyDescent="0.3">
      <c r="A244" s="4">
        <v>243</v>
      </c>
      <c r="B244" s="5" t="s">
        <v>472</v>
      </c>
      <c r="C244" s="5" t="s">
        <v>473</v>
      </c>
      <c r="D244" s="6">
        <f>593972093660</f>
        <v>593972093660</v>
      </c>
      <c r="E244" s="5" t="s">
        <v>66</v>
      </c>
      <c r="F244" s="5" t="s">
        <v>15</v>
      </c>
    </row>
    <row r="245" spans="1:6" ht="15.75" customHeight="1" x14ac:dyDescent="0.3">
      <c r="A245" s="4">
        <v>244</v>
      </c>
      <c r="B245" s="5" t="s">
        <v>474</v>
      </c>
      <c r="C245" s="5" t="s">
        <v>475</v>
      </c>
      <c r="D245" s="6">
        <f>593936856919</f>
        <v>593936856919</v>
      </c>
      <c r="E245" s="5" t="s">
        <v>59</v>
      </c>
      <c r="F245" s="5" t="s">
        <v>10</v>
      </c>
    </row>
    <row r="246" spans="1:6" ht="15.75" customHeight="1" x14ac:dyDescent="0.3">
      <c r="A246" s="4">
        <v>245</v>
      </c>
      <c r="B246" s="5" t="s">
        <v>476</v>
      </c>
      <c r="C246" s="5" t="s">
        <v>450</v>
      </c>
      <c r="D246" s="6">
        <f>593945584342</f>
        <v>593945584342</v>
      </c>
      <c r="E246" s="5" t="s">
        <v>19</v>
      </c>
      <c r="F246" s="5" t="s">
        <v>29</v>
      </c>
    </row>
    <row r="247" spans="1:6" ht="15.75" customHeight="1" x14ac:dyDescent="0.3">
      <c r="A247" s="4">
        <v>246</v>
      </c>
      <c r="B247" s="5" t="s">
        <v>359</v>
      </c>
      <c r="C247" s="5" t="s">
        <v>477</v>
      </c>
      <c r="D247" s="6">
        <f>593954670601</f>
        <v>593954670601</v>
      </c>
      <c r="E247" s="5" t="s">
        <v>32</v>
      </c>
      <c r="F247" s="5" t="s">
        <v>10</v>
      </c>
    </row>
    <row r="248" spans="1:6" ht="15.75" customHeight="1" x14ac:dyDescent="0.3">
      <c r="A248" s="4">
        <v>247</v>
      </c>
      <c r="B248" s="5" t="s">
        <v>478</v>
      </c>
      <c r="C248" s="5" t="s">
        <v>479</v>
      </c>
      <c r="D248" s="6">
        <f>593977857367</f>
        <v>593977857367</v>
      </c>
      <c r="E248" s="5" t="s">
        <v>41</v>
      </c>
      <c r="F248" s="5" t="s">
        <v>15</v>
      </c>
    </row>
    <row r="249" spans="1:6" ht="15.75" customHeight="1" x14ac:dyDescent="0.3">
      <c r="A249" s="4">
        <v>248</v>
      </c>
      <c r="B249" s="5" t="s">
        <v>480</v>
      </c>
      <c r="C249" s="5" t="s">
        <v>481</v>
      </c>
      <c r="D249" s="6">
        <f>593951656751</f>
        <v>593951656751</v>
      </c>
      <c r="E249" s="5" t="s">
        <v>35</v>
      </c>
      <c r="F249" s="5" t="s">
        <v>10</v>
      </c>
    </row>
    <row r="250" spans="1:6" ht="15.75" customHeight="1" x14ac:dyDescent="0.3">
      <c r="A250" s="4">
        <v>249</v>
      </c>
      <c r="B250" s="5" t="s">
        <v>482</v>
      </c>
      <c r="C250" s="5" t="s">
        <v>483</v>
      </c>
      <c r="D250" s="6">
        <f>593958921540</f>
        <v>593958921540</v>
      </c>
      <c r="E250" s="5" t="s">
        <v>56</v>
      </c>
      <c r="F250" s="5" t="s">
        <v>15</v>
      </c>
    </row>
    <row r="251" spans="1:6" ht="15.75" customHeight="1" x14ac:dyDescent="0.3">
      <c r="A251" s="4">
        <v>250</v>
      </c>
      <c r="B251" s="5" t="s">
        <v>484</v>
      </c>
      <c r="C251" s="5" t="s">
        <v>485</v>
      </c>
      <c r="D251" s="6">
        <f>593923938643</f>
        <v>593923938643</v>
      </c>
      <c r="E251" s="5" t="s">
        <v>56</v>
      </c>
      <c r="F251" s="5" t="s">
        <v>15</v>
      </c>
    </row>
    <row r="252" spans="1:6" ht="15.75" customHeight="1" x14ac:dyDescent="0.3">
      <c r="A252" s="4">
        <v>251</v>
      </c>
      <c r="B252" s="5" t="s">
        <v>486</v>
      </c>
      <c r="C252" s="5" t="s">
        <v>487</v>
      </c>
      <c r="D252" s="6">
        <f>593944388851</f>
        <v>593944388851</v>
      </c>
      <c r="E252" s="5" t="s">
        <v>56</v>
      </c>
      <c r="F252" s="5" t="s">
        <v>29</v>
      </c>
    </row>
    <row r="253" spans="1:6" ht="15.75" customHeight="1" x14ac:dyDescent="0.3">
      <c r="A253" s="4">
        <v>252</v>
      </c>
      <c r="B253" s="5" t="s">
        <v>394</v>
      </c>
      <c r="C253" s="5" t="s">
        <v>248</v>
      </c>
      <c r="D253" s="6">
        <f>593935230473</f>
        <v>593935230473</v>
      </c>
      <c r="E253" s="5" t="s">
        <v>44</v>
      </c>
      <c r="F253" s="5" t="s">
        <v>29</v>
      </c>
    </row>
    <row r="254" spans="1:6" ht="15.75" customHeight="1" x14ac:dyDescent="0.3">
      <c r="A254" s="4">
        <v>253</v>
      </c>
      <c r="B254" s="5" t="s">
        <v>488</v>
      </c>
      <c r="C254" s="5" t="s">
        <v>489</v>
      </c>
      <c r="D254" s="6">
        <f>593964736981</f>
        <v>593964736981</v>
      </c>
      <c r="E254" s="5" t="s">
        <v>44</v>
      </c>
      <c r="F254" s="5" t="s">
        <v>29</v>
      </c>
    </row>
    <row r="255" spans="1:6" ht="15.75" customHeight="1" x14ac:dyDescent="0.3">
      <c r="A255" s="4">
        <v>254</v>
      </c>
      <c r="B255" s="5" t="s">
        <v>160</v>
      </c>
      <c r="C255" s="5" t="s">
        <v>355</v>
      </c>
      <c r="D255" s="6">
        <f>593945672145</f>
        <v>593945672145</v>
      </c>
      <c r="E255" s="5" t="s">
        <v>66</v>
      </c>
      <c r="F255" s="5" t="s">
        <v>23</v>
      </c>
    </row>
    <row r="256" spans="1:6" ht="15.75" customHeight="1" x14ac:dyDescent="0.3">
      <c r="A256" s="4">
        <v>255</v>
      </c>
      <c r="B256" s="5" t="s">
        <v>490</v>
      </c>
      <c r="C256" s="5" t="s">
        <v>491</v>
      </c>
      <c r="D256" s="6">
        <f>593986095512</f>
        <v>593986095512</v>
      </c>
      <c r="E256" s="5" t="s">
        <v>14</v>
      </c>
      <c r="F256" s="5" t="s">
        <v>10</v>
      </c>
    </row>
    <row r="257" spans="1:6" ht="15.75" customHeight="1" x14ac:dyDescent="0.3">
      <c r="A257" s="4">
        <v>256</v>
      </c>
      <c r="B257" s="5" t="s">
        <v>492</v>
      </c>
      <c r="C257" s="5" t="s">
        <v>493</v>
      </c>
      <c r="D257" s="6">
        <f>593917560822</f>
        <v>593917560822</v>
      </c>
      <c r="E257" s="5" t="s">
        <v>41</v>
      </c>
      <c r="F257" s="5" t="s">
        <v>10</v>
      </c>
    </row>
    <row r="258" spans="1:6" ht="15.75" customHeight="1" x14ac:dyDescent="0.3">
      <c r="A258" s="4">
        <v>257</v>
      </c>
      <c r="B258" s="5" t="s">
        <v>494</v>
      </c>
      <c r="C258" s="5" t="s">
        <v>495</v>
      </c>
      <c r="D258" s="6">
        <f>593974706821</f>
        <v>593974706821</v>
      </c>
      <c r="E258" s="5" t="s">
        <v>41</v>
      </c>
      <c r="F258" s="5" t="s">
        <v>15</v>
      </c>
    </row>
    <row r="259" spans="1:6" ht="15.75" customHeight="1" x14ac:dyDescent="0.3">
      <c r="A259" s="4">
        <v>258</v>
      </c>
      <c r="B259" s="5" t="s">
        <v>496</v>
      </c>
      <c r="C259" s="5" t="s">
        <v>497</v>
      </c>
      <c r="D259" s="6">
        <f>593970511409</f>
        <v>593970511409</v>
      </c>
      <c r="E259" s="5" t="s">
        <v>32</v>
      </c>
      <c r="F259" s="5" t="s">
        <v>10</v>
      </c>
    </row>
    <row r="260" spans="1:6" ht="15.75" customHeight="1" x14ac:dyDescent="0.3">
      <c r="A260" s="4">
        <v>259</v>
      </c>
      <c r="B260" s="5" t="s">
        <v>498</v>
      </c>
      <c r="C260" s="5" t="s">
        <v>499</v>
      </c>
      <c r="D260" s="6">
        <f>593965836549</f>
        <v>593965836549</v>
      </c>
      <c r="E260" s="5" t="s">
        <v>41</v>
      </c>
      <c r="F260" s="5" t="s">
        <v>29</v>
      </c>
    </row>
    <row r="261" spans="1:6" ht="15.75" customHeight="1" x14ac:dyDescent="0.3">
      <c r="A261" s="4">
        <v>260</v>
      </c>
      <c r="B261" s="5" t="s">
        <v>500</v>
      </c>
      <c r="C261" s="5" t="s">
        <v>501</v>
      </c>
      <c r="D261" s="6">
        <f>593986470501</f>
        <v>593986470501</v>
      </c>
      <c r="E261" s="5" t="s">
        <v>44</v>
      </c>
      <c r="F261" s="5" t="s">
        <v>15</v>
      </c>
    </row>
    <row r="262" spans="1:6" ht="15.75" customHeight="1" x14ac:dyDescent="0.3">
      <c r="A262" s="4">
        <v>261</v>
      </c>
      <c r="B262" s="5" t="s">
        <v>111</v>
      </c>
      <c r="C262" s="5" t="s">
        <v>502</v>
      </c>
      <c r="D262" s="6">
        <f>593986388236</f>
        <v>593986388236</v>
      </c>
      <c r="E262" s="5" t="s">
        <v>14</v>
      </c>
      <c r="F262" s="5" t="s">
        <v>23</v>
      </c>
    </row>
    <row r="263" spans="1:6" ht="15.75" customHeight="1" x14ac:dyDescent="0.3">
      <c r="A263" s="4">
        <v>262</v>
      </c>
      <c r="B263" s="5" t="s">
        <v>503</v>
      </c>
      <c r="C263" s="5" t="s">
        <v>504</v>
      </c>
      <c r="D263" s="6">
        <f>593997471363</f>
        <v>593997471363</v>
      </c>
      <c r="E263" s="5" t="s">
        <v>35</v>
      </c>
      <c r="F263" s="5" t="s">
        <v>10</v>
      </c>
    </row>
    <row r="264" spans="1:6" ht="15.75" customHeight="1" x14ac:dyDescent="0.3">
      <c r="A264" s="4">
        <v>263</v>
      </c>
      <c r="B264" s="5" t="s">
        <v>505</v>
      </c>
      <c r="C264" s="5" t="s">
        <v>506</v>
      </c>
      <c r="D264" s="6">
        <f>593955009715</f>
        <v>593955009715</v>
      </c>
      <c r="E264" s="5" t="s">
        <v>66</v>
      </c>
      <c r="F264" s="5" t="s">
        <v>10</v>
      </c>
    </row>
    <row r="265" spans="1:6" ht="15.75" customHeight="1" x14ac:dyDescent="0.3">
      <c r="A265" s="4">
        <v>264</v>
      </c>
      <c r="B265" s="5" t="s">
        <v>507</v>
      </c>
      <c r="C265" s="5" t="s">
        <v>153</v>
      </c>
      <c r="D265" s="6">
        <f>593985521144</f>
        <v>593985521144</v>
      </c>
      <c r="E265" s="5" t="s">
        <v>56</v>
      </c>
      <c r="F265" s="5" t="s">
        <v>15</v>
      </c>
    </row>
    <row r="266" spans="1:6" ht="15.75" customHeight="1" x14ac:dyDescent="0.3">
      <c r="A266" s="4">
        <v>265</v>
      </c>
      <c r="B266" s="5" t="s">
        <v>508</v>
      </c>
      <c r="C266" s="5" t="s">
        <v>509</v>
      </c>
      <c r="D266" s="6">
        <f>593963496195</f>
        <v>593963496195</v>
      </c>
      <c r="E266" s="5" t="s">
        <v>32</v>
      </c>
      <c r="F266" s="5" t="s">
        <v>15</v>
      </c>
    </row>
    <row r="267" spans="1:6" ht="15.75" customHeight="1" x14ac:dyDescent="0.3">
      <c r="A267" s="4">
        <v>266</v>
      </c>
      <c r="B267" s="5" t="s">
        <v>510</v>
      </c>
      <c r="C267" s="5" t="s">
        <v>511</v>
      </c>
      <c r="D267" s="6">
        <f>593911903293</f>
        <v>593911903293</v>
      </c>
      <c r="E267" s="5" t="s">
        <v>51</v>
      </c>
      <c r="F267" s="5" t="s">
        <v>10</v>
      </c>
    </row>
    <row r="268" spans="1:6" ht="15.75" customHeight="1" x14ac:dyDescent="0.3">
      <c r="A268" s="4">
        <v>267</v>
      </c>
      <c r="B268" s="5" t="s">
        <v>512</v>
      </c>
      <c r="C268" s="5" t="s">
        <v>513</v>
      </c>
      <c r="D268" s="6">
        <f>593981600181</f>
        <v>593981600181</v>
      </c>
      <c r="E268" s="5" t="s">
        <v>59</v>
      </c>
      <c r="F268" s="5" t="s">
        <v>15</v>
      </c>
    </row>
    <row r="269" spans="1:6" ht="15.75" customHeight="1" x14ac:dyDescent="0.3">
      <c r="A269" s="4">
        <v>268</v>
      </c>
      <c r="B269" s="5" t="s">
        <v>117</v>
      </c>
      <c r="C269" s="5" t="s">
        <v>514</v>
      </c>
      <c r="D269" s="6">
        <f>593923370450</f>
        <v>593923370450</v>
      </c>
      <c r="E269" s="5" t="s">
        <v>32</v>
      </c>
      <c r="F269" s="5" t="s">
        <v>23</v>
      </c>
    </row>
    <row r="270" spans="1:6" ht="15.75" customHeight="1" x14ac:dyDescent="0.3">
      <c r="A270" s="4">
        <v>269</v>
      </c>
      <c r="B270" s="5" t="s">
        <v>211</v>
      </c>
      <c r="C270" s="5" t="s">
        <v>515</v>
      </c>
      <c r="D270" s="6">
        <f>593947900032</f>
        <v>593947900032</v>
      </c>
      <c r="E270" s="5" t="s">
        <v>44</v>
      </c>
      <c r="F270" s="5" t="s">
        <v>23</v>
      </c>
    </row>
    <row r="271" spans="1:6" ht="15.75" customHeight="1" x14ac:dyDescent="0.3">
      <c r="A271" s="4">
        <v>270</v>
      </c>
      <c r="B271" s="5" t="s">
        <v>516</v>
      </c>
      <c r="C271" s="5" t="s">
        <v>517</v>
      </c>
      <c r="D271" s="6">
        <f>593998551177</f>
        <v>593998551177</v>
      </c>
      <c r="E271" s="5" t="s">
        <v>66</v>
      </c>
      <c r="F271" s="5" t="s">
        <v>15</v>
      </c>
    </row>
    <row r="272" spans="1:6" ht="15.75" customHeight="1" x14ac:dyDescent="0.3">
      <c r="A272" s="4">
        <v>271</v>
      </c>
      <c r="B272" s="5" t="s">
        <v>518</v>
      </c>
      <c r="C272" s="5" t="s">
        <v>452</v>
      </c>
      <c r="D272" s="6">
        <f>593965456752</f>
        <v>593965456752</v>
      </c>
      <c r="E272" s="5" t="s">
        <v>66</v>
      </c>
      <c r="F272" s="5" t="s">
        <v>15</v>
      </c>
    </row>
    <row r="273" spans="1:6" ht="15.75" customHeight="1" x14ac:dyDescent="0.3">
      <c r="A273" s="4">
        <v>272</v>
      </c>
      <c r="B273" s="5" t="s">
        <v>519</v>
      </c>
      <c r="C273" s="5" t="s">
        <v>520</v>
      </c>
      <c r="D273" s="6">
        <f>593940024600</f>
        <v>593940024600</v>
      </c>
      <c r="E273" s="5" t="s">
        <v>19</v>
      </c>
      <c r="F273" s="5" t="s">
        <v>29</v>
      </c>
    </row>
    <row r="274" spans="1:6" ht="15.75" customHeight="1" x14ac:dyDescent="0.3">
      <c r="A274" s="4">
        <v>273</v>
      </c>
      <c r="B274" s="5" t="s">
        <v>521</v>
      </c>
      <c r="C274" s="5" t="s">
        <v>258</v>
      </c>
      <c r="D274" s="6">
        <f>593939794201</f>
        <v>593939794201</v>
      </c>
      <c r="E274" s="5" t="s">
        <v>32</v>
      </c>
      <c r="F274" s="5" t="s">
        <v>29</v>
      </c>
    </row>
    <row r="275" spans="1:6" ht="15.75" customHeight="1" x14ac:dyDescent="0.3">
      <c r="A275" s="4">
        <v>274</v>
      </c>
      <c r="B275" s="5" t="s">
        <v>522</v>
      </c>
      <c r="C275" s="5" t="s">
        <v>523</v>
      </c>
      <c r="D275" s="6">
        <f>593973149318</f>
        <v>593973149318</v>
      </c>
      <c r="E275" s="5" t="s">
        <v>41</v>
      </c>
      <c r="F275" s="5" t="s">
        <v>15</v>
      </c>
    </row>
    <row r="276" spans="1:6" ht="15.75" customHeight="1" x14ac:dyDescent="0.3">
      <c r="A276" s="4">
        <v>275</v>
      </c>
      <c r="B276" s="5" t="s">
        <v>524</v>
      </c>
      <c r="C276" s="5" t="s">
        <v>133</v>
      </c>
      <c r="D276" s="6">
        <f>593976296674</f>
        <v>593976296674</v>
      </c>
      <c r="E276" s="5" t="s">
        <v>66</v>
      </c>
      <c r="F276" s="5" t="s">
        <v>15</v>
      </c>
    </row>
    <row r="277" spans="1:6" ht="15.75" customHeight="1" x14ac:dyDescent="0.3">
      <c r="A277" s="4">
        <v>276</v>
      </c>
      <c r="B277" s="5" t="s">
        <v>525</v>
      </c>
      <c r="C277" s="5" t="s">
        <v>526</v>
      </c>
      <c r="D277" s="6">
        <f>593973575988</f>
        <v>593973575988</v>
      </c>
      <c r="E277" s="5" t="s">
        <v>9</v>
      </c>
      <c r="F277" s="5" t="s">
        <v>23</v>
      </c>
    </row>
    <row r="278" spans="1:6" ht="15.75" customHeight="1" x14ac:dyDescent="0.3">
      <c r="A278" s="4">
        <v>277</v>
      </c>
      <c r="B278" s="5" t="s">
        <v>527</v>
      </c>
      <c r="C278" s="5" t="s">
        <v>528</v>
      </c>
      <c r="D278" s="6">
        <f>593959472657</f>
        <v>593959472657</v>
      </c>
      <c r="E278" s="5" t="s">
        <v>66</v>
      </c>
      <c r="F278" s="5" t="s">
        <v>15</v>
      </c>
    </row>
    <row r="279" spans="1:6" ht="15.75" customHeight="1" x14ac:dyDescent="0.3">
      <c r="A279" s="4">
        <v>278</v>
      </c>
      <c r="B279" s="5" t="s">
        <v>529</v>
      </c>
      <c r="C279" s="5" t="s">
        <v>386</v>
      </c>
      <c r="D279" s="6">
        <f>593936204322</f>
        <v>593936204322</v>
      </c>
      <c r="E279" s="5" t="s">
        <v>121</v>
      </c>
      <c r="F279" s="5" t="s">
        <v>15</v>
      </c>
    </row>
    <row r="280" spans="1:6" ht="15.75" customHeight="1" x14ac:dyDescent="0.3">
      <c r="A280" s="4">
        <v>279</v>
      </c>
      <c r="B280" s="5" t="s">
        <v>530</v>
      </c>
      <c r="C280" s="5" t="s">
        <v>531</v>
      </c>
      <c r="D280" s="6">
        <f>593955000198</f>
        <v>593955000198</v>
      </c>
      <c r="E280" s="5" t="s">
        <v>121</v>
      </c>
      <c r="F280" s="5" t="s">
        <v>29</v>
      </c>
    </row>
    <row r="281" spans="1:6" ht="15.75" customHeight="1" x14ac:dyDescent="0.3">
      <c r="A281" s="4">
        <v>280</v>
      </c>
      <c r="B281" s="5" t="s">
        <v>532</v>
      </c>
      <c r="C281" s="5" t="s">
        <v>533</v>
      </c>
      <c r="D281" s="6">
        <f>593950429775</f>
        <v>593950429775</v>
      </c>
      <c r="E281" s="5" t="s">
        <v>121</v>
      </c>
      <c r="F281" s="5" t="s">
        <v>15</v>
      </c>
    </row>
    <row r="282" spans="1:6" ht="15.75" customHeight="1" x14ac:dyDescent="0.3">
      <c r="A282" s="4">
        <v>281</v>
      </c>
      <c r="B282" s="5" t="s">
        <v>534</v>
      </c>
      <c r="C282" s="5" t="s">
        <v>535</v>
      </c>
      <c r="D282" s="6">
        <f>593966889311</f>
        <v>593966889311</v>
      </c>
      <c r="E282" s="5" t="s">
        <v>35</v>
      </c>
      <c r="F282" s="5" t="s">
        <v>23</v>
      </c>
    </row>
    <row r="283" spans="1:6" ht="15.75" customHeight="1" x14ac:dyDescent="0.3">
      <c r="A283" s="4">
        <v>282</v>
      </c>
      <c r="B283" s="5" t="s">
        <v>263</v>
      </c>
      <c r="C283" s="5" t="s">
        <v>205</v>
      </c>
      <c r="D283" s="6">
        <f>593991411609</f>
        <v>593991411609</v>
      </c>
      <c r="E283" s="5" t="s">
        <v>121</v>
      </c>
      <c r="F283" s="5" t="s">
        <v>10</v>
      </c>
    </row>
    <row r="284" spans="1:6" ht="15.75" customHeight="1" x14ac:dyDescent="0.3">
      <c r="A284" s="4">
        <v>283</v>
      </c>
      <c r="B284" s="5" t="s">
        <v>536</v>
      </c>
      <c r="C284" s="5" t="s">
        <v>537</v>
      </c>
      <c r="D284" s="6">
        <f>593934236054</f>
        <v>593934236054</v>
      </c>
      <c r="E284" s="5" t="s">
        <v>35</v>
      </c>
      <c r="F284" s="5" t="s">
        <v>29</v>
      </c>
    </row>
    <row r="285" spans="1:6" ht="15.75" customHeight="1" x14ac:dyDescent="0.3">
      <c r="A285" s="4">
        <v>284</v>
      </c>
      <c r="B285" s="5" t="s">
        <v>538</v>
      </c>
      <c r="C285" s="5" t="s">
        <v>539</v>
      </c>
      <c r="D285" s="6">
        <f>593960642042</f>
        <v>593960642042</v>
      </c>
      <c r="E285" s="5" t="s">
        <v>9</v>
      </c>
      <c r="F285" s="5" t="s">
        <v>23</v>
      </c>
    </row>
    <row r="286" spans="1:6" ht="15.75" customHeight="1" x14ac:dyDescent="0.3">
      <c r="A286" s="4">
        <v>285</v>
      </c>
      <c r="B286" s="5" t="s">
        <v>540</v>
      </c>
      <c r="C286" s="5" t="s">
        <v>541</v>
      </c>
      <c r="D286" s="6">
        <f>593989224654</f>
        <v>593989224654</v>
      </c>
      <c r="E286" s="5" t="s">
        <v>121</v>
      </c>
      <c r="F286" s="5" t="s">
        <v>23</v>
      </c>
    </row>
    <row r="287" spans="1:6" ht="15.75" customHeight="1" x14ac:dyDescent="0.3">
      <c r="A287" s="4">
        <v>286</v>
      </c>
      <c r="B287" s="5" t="s">
        <v>542</v>
      </c>
      <c r="C287" s="5" t="s">
        <v>543</v>
      </c>
      <c r="D287" s="6">
        <f>593976087270</f>
        <v>593976087270</v>
      </c>
      <c r="E287" s="5" t="s">
        <v>59</v>
      </c>
      <c r="F287" s="5" t="s">
        <v>23</v>
      </c>
    </row>
    <row r="288" spans="1:6" ht="15.75" customHeight="1" x14ac:dyDescent="0.3">
      <c r="A288" s="4">
        <v>287</v>
      </c>
      <c r="B288" s="5" t="s">
        <v>544</v>
      </c>
      <c r="C288" s="5" t="s">
        <v>545</v>
      </c>
      <c r="D288" s="6">
        <f>593910451876</f>
        <v>593910451876</v>
      </c>
      <c r="E288" s="5" t="s">
        <v>56</v>
      </c>
      <c r="F288" s="5" t="s">
        <v>23</v>
      </c>
    </row>
    <row r="289" spans="1:6" ht="15.75" customHeight="1" x14ac:dyDescent="0.3">
      <c r="A289" s="4">
        <v>288</v>
      </c>
      <c r="B289" s="5" t="s">
        <v>546</v>
      </c>
      <c r="C289" s="5" t="s">
        <v>547</v>
      </c>
      <c r="D289" s="6">
        <f>593946589491</f>
        <v>593946589491</v>
      </c>
      <c r="E289" s="5" t="s">
        <v>66</v>
      </c>
      <c r="F289" s="5" t="s">
        <v>29</v>
      </c>
    </row>
    <row r="290" spans="1:6" ht="15.75" customHeight="1" x14ac:dyDescent="0.3">
      <c r="A290" s="4">
        <v>289</v>
      </c>
      <c r="B290" s="5" t="s">
        <v>548</v>
      </c>
      <c r="C290" s="5" t="s">
        <v>549</v>
      </c>
      <c r="D290" s="6">
        <f>593938922724</f>
        <v>593938922724</v>
      </c>
      <c r="E290" s="5" t="s">
        <v>35</v>
      </c>
      <c r="F290" s="5" t="s">
        <v>10</v>
      </c>
    </row>
    <row r="291" spans="1:6" ht="15.75" customHeight="1" x14ac:dyDescent="0.3">
      <c r="A291" s="4">
        <v>290</v>
      </c>
      <c r="B291" s="5" t="s">
        <v>550</v>
      </c>
      <c r="C291" s="5" t="s">
        <v>551</v>
      </c>
      <c r="D291" s="6">
        <f>593963167634</f>
        <v>593963167634</v>
      </c>
      <c r="E291" s="5" t="s">
        <v>56</v>
      </c>
      <c r="F291" s="5" t="s">
        <v>23</v>
      </c>
    </row>
    <row r="292" spans="1:6" ht="15.75" customHeight="1" x14ac:dyDescent="0.3">
      <c r="A292" s="4">
        <v>291</v>
      </c>
      <c r="B292" s="5" t="s">
        <v>552</v>
      </c>
      <c r="C292" s="5" t="s">
        <v>553</v>
      </c>
      <c r="D292" s="6">
        <f>593919015565</f>
        <v>593919015565</v>
      </c>
      <c r="E292" s="5" t="s">
        <v>59</v>
      </c>
      <c r="F292" s="5" t="s">
        <v>29</v>
      </c>
    </row>
    <row r="293" spans="1:6" ht="15.75" customHeight="1" x14ac:dyDescent="0.3">
      <c r="A293" s="4">
        <v>292</v>
      </c>
      <c r="B293" s="5" t="s">
        <v>405</v>
      </c>
      <c r="C293" s="5" t="s">
        <v>554</v>
      </c>
      <c r="D293" s="6">
        <f>593974556193</f>
        <v>593974556193</v>
      </c>
      <c r="E293" s="5" t="s">
        <v>51</v>
      </c>
      <c r="F293" s="5" t="s">
        <v>15</v>
      </c>
    </row>
    <row r="294" spans="1:6" ht="15.75" customHeight="1" x14ac:dyDescent="0.3">
      <c r="A294" s="4">
        <v>293</v>
      </c>
      <c r="B294" s="5" t="s">
        <v>555</v>
      </c>
      <c r="C294" s="5" t="s">
        <v>556</v>
      </c>
      <c r="D294" s="6">
        <f>593931790118</f>
        <v>593931790118</v>
      </c>
      <c r="E294" s="5" t="s">
        <v>59</v>
      </c>
      <c r="F294" s="5" t="s">
        <v>15</v>
      </c>
    </row>
    <row r="295" spans="1:6" ht="15.75" customHeight="1" x14ac:dyDescent="0.3">
      <c r="A295" s="4">
        <v>294</v>
      </c>
      <c r="B295" s="5" t="s">
        <v>557</v>
      </c>
      <c r="C295" s="5" t="s">
        <v>558</v>
      </c>
      <c r="D295" s="6">
        <f>593968911968</f>
        <v>593968911968</v>
      </c>
      <c r="E295" s="5" t="s">
        <v>32</v>
      </c>
      <c r="F295" s="5" t="s">
        <v>15</v>
      </c>
    </row>
    <row r="296" spans="1:6" ht="15.75" customHeight="1" x14ac:dyDescent="0.3">
      <c r="A296" s="4">
        <v>295</v>
      </c>
      <c r="B296" s="5" t="s">
        <v>559</v>
      </c>
      <c r="C296" s="5" t="s">
        <v>560</v>
      </c>
      <c r="D296" s="6">
        <f>593910302070</f>
        <v>593910302070</v>
      </c>
      <c r="E296" s="5" t="s">
        <v>59</v>
      </c>
      <c r="F296" s="5" t="s">
        <v>10</v>
      </c>
    </row>
    <row r="297" spans="1:6" ht="15.75" customHeight="1" x14ac:dyDescent="0.3">
      <c r="A297" s="4">
        <v>296</v>
      </c>
      <c r="B297" s="5" t="s">
        <v>561</v>
      </c>
      <c r="C297" s="5" t="s">
        <v>562</v>
      </c>
      <c r="D297" s="6">
        <f>593910453122</f>
        <v>593910453122</v>
      </c>
      <c r="E297" s="5" t="s">
        <v>44</v>
      </c>
      <c r="F297" s="5" t="s">
        <v>15</v>
      </c>
    </row>
    <row r="298" spans="1:6" ht="15.75" customHeight="1" x14ac:dyDescent="0.3">
      <c r="A298" s="4">
        <v>297</v>
      </c>
      <c r="B298" s="5" t="s">
        <v>563</v>
      </c>
      <c r="C298" s="5" t="s">
        <v>564</v>
      </c>
      <c r="D298" s="6">
        <f>593912512149</f>
        <v>593912512149</v>
      </c>
      <c r="E298" s="5" t="s">
        <v>35</v>
      </c>
      <c r="F298" s="5" t="s">
        <v>23</v>
      </c>
    </row>
    <row r="299" spans="1:6" ht="15.75" customHeight="1" x14ac:dyDescent="0.3">
      <c r="A299" s="4">
        <v>298</v>
      </c>
      <c r="B299" s="5" t="s">
        <v>565</v>
      </c>
      <c r="C299" s="5" t="s">
        <v>326</v>
      </c>
      <c r="D299" s="6">
        <f>593924648229</f>
        <v>593924648229</v>
      </c>
      <c r="E299" s="5" t="s">
        <v>14</v>
      </c>
      <c r="F299" s="5" t="s">
        <v>29</v>
      </c>
    </row>
    <row r="300" spans="1:6" ht="15.75" customHeight="1" x14ac:dyDescent="0.3">
      <c r="A300" s="4">
        <v>299</v>
      </c>
      <c r="B300" s="5" t="s">
        <v>566</v>
      </c>
      <c r="C300" s="5" t="s">
        <v>454</v>
      </c>
      <c r="D300" s="6">
        <f>593926427890</f>
        <v>593926427890</v>
      </c>
      <c r="E300" s="5" t="s">
        <v>51</v>
      </c>
      <c r="F300" s="5" t="s">
        <v>29</v>
      </c>
    </row>
    <row r="301" spans="1:6" ht="15.75" customHeight="1" x14ac:dyDescent="0.3">
      <c r="A301" s="4">
        <v>300</v>
      </c>
      <c r="B301" s="5" t="s">
        <v>436</v>
      </c>
      <c r="C301" s="5" t="s">
        <v>567</v>
      </c>
      <c r="D301" s="6">
        <f>593945047245</f>
        <v>593945047245</v>
      </c>
      <c r="E301" s="5" t="s">
        <v>35</v>
      </c>
      <c r="F301" s="5" t="s">
        <v>23</v>
      </c>
    </row>
    <row r="302" spans="1:6" ht="15.75" customHeight="1" x14ac:dyDescent="0.3">
      <c r="A302" s="4">
        <v>301</v>
      </c>
      <c r="B302" s="5" t="s">
        <v>568</v>
      </c>
      <c r="C302" s="5" t="s">
        <v>569</v>
      </c>
      <c r="D302" s="6">
        <f>593987821667</f>
        <v>593987821667</v>
      </c>
      <c r="E302" s="5" t="s">
        <v>9</v>
      </c>
      <c r="F302" s="5" t="s">
        <v>29</v>
      </c>
    </row>
    <row r="303" spans="1:6" ht="15.75" customHeight="1" x14ac:dyDescent="0.3">
      <c r="A303" s="4">
        <v>302</v>
      </c>
      <c r="B303" s="5" t="s">
        <v>570</v>
      </c>
      <c r="C303" s="5" t="s">
        <v>571</v>
      </c>
      <c r="D303" s="6">
        <f>593973177451</f>
        <v>593973177451</v>
      </c>
      <c r="E303" s="5" t="s">
        <v>51</v>
      </c>
      <c r="F303" s="5" t="s">
        <v>15</v>
      </c>
    </row>
    <row r="304" spans="1:6" ht="15.75" customHeight="1" x14ac:dyDescent="0.3">
      <c r="A304" s="4">
        <v>303</v>
      </c>
      <c r="B304" s="5" t="s">
        <v>572</v>
      </c>
      <c r="C304" s="5" t="s">
        <v>223</v>
      </c>
      <c r="D304" s="6">
        <f>593980413131</f>
        <v>593980413131</v>
      </c>
      <c r="E304" s="5" t="s">
        <v>44</v>
      </c>
      <c r="F304" s="5" t="s">
        <v>23</v>
      </c>
    </row>
    <row r="305" spans="1:6" ht="15.75" customHeight="1" x14ac:dyDescent="0.3">
      <c r="A305" s="4">
        <v>304</v>
      </c>
      <c r="B305" s="5" t="s">
        <v>573</v>
      </c>
      <c r="C305" s="5" t="s">
        <v>574</v>
      </c>
      <c r="D305" s="6">
        <f>593940524501</f>
        <v>593940524501</v>
      </c>
      <c r="E305" s="5" t="s">
        <v>56</v>
      </c>
      <c r="F305" s="5" t="s">
        <v>29</v>
      </c>
    </row>
    <row r="306" spans="1:6" ht="15.75" customHeight="1" x14ac:dyDescent="0.3">
      <c r="A306" s="4">
        <v>305</v>
      </c>
      <c r="B306" s="5" t="s">
        <v>575</v>
      </c>
      <c r="C306" s="5" t="s">
        <v>576</v>
      </c>
      <c r="D306" s="6">
        <f>593916369517</f>
        <v>593916369517</v>
      </c>
      <c r="E306" s="5" t="s">
        <v>35</v>
      </c>
      <c r="F306" s="5" t="s">
        <v>15</v>
      </c>
    </row>
    <row r="307" spans="1:6" ht="15.75" customHeight="1" x14ac:dyDescent="0.3">
      <c r="A307" s="4">
        <v>306</v>
      </c>
      <c r="B307" s="5" t="s">
        <v>577</v>
      </c>
      <c r="C307" s="5" t="s">
        <v>578</v>
      </c>
      <c r="D307" s="6">
        <f>593962365389</f>
        <v>593962365389</v>
      </c>
      <c r="E307" s="5" t="s">
        <v>121</v>
      </c>
      <c r="F307" s="5" t="s">
        <v>15</v>
      </c>
    </row>
    <row r="308" spans="1:6" ht="15.75" customHeight="1" x14ac:dyDescent="0.3">
      <c r="A308" s="4">
        <v>307</v>
      </c>
      <c r="B308" s="5" t="s">
        <v>579</v>
      </c>
      <c r="C308" s="5" t="s">
        <v>580</v>
      </c>
      <c r="D308" s="6">
        <f>593999160785</f>
        <v>593999160785</v>
      </c>
      <c r="E308" s="5" t="s">
        <v>121</v>
      </c>
      <c r="F308" s="5" t="s">
        <v>10</v>
      </c>
    </row>
    <row r="309" spans="1:6" ht="15.75" customHeight="1" x14ac:dyDescent="0.3">
      <c r="A309" s="4">
        <v>308</v>
      </c>
      <c r="B309" s="5" t="s">
        <v>403</v>
      </c>
      <c r="C309" s="5" t="s">
        <v>581</v>
      </c>
      <c r="D309" s="6">
        <f>593979230619</f>
        <v>593979230619</v>
      </c>
      <c r="E309" s="5" t="s">
        <v>14</v>
      </c>
      <c r="F309" s="5" t="s">
        <v>15</v>
      </c>
    </row>
    <row r="310" spans="1:6" ht="15.75" customHeight="1" x14ac:dyDescent="0.3">
      <c r="A310" s="4">
        <v>309</v>
      </c>
      <c r="B310" s="5" t="s">
        <v>582</v>
      </c>
      <c r="C310" s="5" t="s">
        <v>414</v>
      </c>
      <c r="D310" s="6">
        <f>593946445562</f>
        <v>593946445562</v>
      </c>
      <c r="E310" s="5" t="s">
        <v>121</v>
      </c>
      <c r="F310" s="5" t="s">
        <v>15</v>
      </c>
    </row>
    <row r="311" spans="1:6" ht="15.75" customHeight="1" x14ac:dyDescent="0.3">
      <c r="A311" s="4">
        <v>310</v>
      </c>
      <c r="B311" s="5" t="s">
        <v>583</v>
      </c>
      <c r="C311" s="5" t="s">
        <v>584</v>
      </c>
      <c r="D311" s="6">
        <f>593935362352</f>
        <v>593935362352</v>
      </c>
      <c r="E311" s="5" t="s">
        <v>41</v>
      </c>
      <c r="F311" s="5" t="s">
        <v>15</v>
      </c>
    </row>
    <row r="312" spans="1:6" ht="15.75" customHeight="1" x14ac:dyDescent="0.3">
      <c r="A312" s="4">
        <v>311</v>
      </c>
      <c r="B312" s="5" t="s">
        <v>176</v>
      </c>
      <c r="C312" s="5" t="s">
        <v>585</v>
      </c>
      <c r="D312" s="6">
        <f>593970999418</f>
        <v>593970999418</v>
      </c>
      <c r="E312" s="5" t="s">
        <v>14</v>
      </c>
      <c r="F312" s="5" t="s">
        <v>10</v>
      </c>
    </row>
    <row r="313" spans="1:6" ht="15.75" customHeight="1" x14ac:dyDescent="0.3">
      <c r="A313" s="4">
        <v>312</v>
      </c>
      <c r="B313" s="5" t="s">
        <v>586</v>
      </c>
      <c r="C313" s="5" t="s">
        <v>587</v>
      </c>
      <c r="D313" s="6">
        <f>593938845048</f>
        <v>593938845048</v>
      </c>
      <c r="E313" s="5" t="s">
        <v>38</v>
      </c>
      <c r="F313" s="5" t="s">
        <v>29</v>
      </c>
    </row>
    <row r="314" spans="1:6" ht="15.75" customHeight="1" x14ac:dyDescent="0.3">
      <c r="A314" s="4">
        <v>313</v>
      </c>
      <c r="B314" s="5" t="s">
        <v>588</v>
      </c>
      <c r="C314" s="5" t="s">
        <v>589</v>
      </c>
      <c r="D314" s="6">
        <f>593956946357</f>
        <v>593956946357</v>
      </c>
      <c r="E314" s="5" t="s">
        <v>9</v>
      </c>
      <c r="F314" s="5" t="s">
        <v>10</v>
      </c>
    </row>
    <row r="315" spans="1:6" ht="15.75" customHeight="1" x14ac:dyDescent="0.3">
      <c r="A315" s="4">
        <v>314</v>
      </c>
      <c r="B315" s="5" t="s">
        <v>590</v>
      </c>
      <c r="C315" s="5" t="s">
        <v>591</v>
      </c>
      <c r="D315" s="6">
        <f>593912895680</f>
        <v>593912895680</v>
      </c>
      <c r="E315" s="5" t="s">
        <v>59</v>
      </c>
      <c r="F315" s="5" t="s">
        <v>29</v>
      </c>
    </row>
    <row r="316" spans="1:6" ht="15.75" customHeight="1" x14ac:dyDescent="0.3">
      <c r="A316" s="4">
        <v>315</v>
      </c>
      <c r="B316" s="5" t="s">
        <v>392</v>
      </c>
      <c r="C316" s="5" t="s">
        <v>592</v>
      </c>
      <c r="D316" s="6">
        <f>593955969408</f>
        <v>593955969408</v>
      </c>
      <c r="E316" s="5" t="s">
        <v>121</v>
      </c>
      <c r="F316" s="5" t="s">
        <v>23</v>
      </c>
    </row>
    <row r="317" spans="1:6" ht="15.75" customHeight="1" x14ac:dyDescent="0.3">
      <c r="A317" s="4">
        <v>316</v>
      </c>
      <c r="B317" s="5" t="s">
        <v>593</v>
      </c>
      <c r="C317" s="5" t="s">
        <v>388</v>
      </c>
      <c r="D317" s="6">
        <f>593971433026</f>
        <v>593971433026</v>
      </c>
      <c r="E317" s="5" t="s">
        <v>51</v>
      </c>
      <c r="F317" s="5" t="s">
        <v>23</v>
      </c>
    </row>
    <row r="318" spans="1:6" ht="15.75" customHeight="1" x14ac:dyDescent="0.3">
      <c r="A318" s="4">
        <v>317</v>
      </c>
      <c r="B318" s="5" t="s">
        <v>146</v>
      </c>
      <c r="C318" s="5" t="s">
        <v>594</v>
      </c>
      <c r="D318" s="6">
        <f>593997879566</f>
        <v>593997879566</v>
      </c>
      <c r="E318" s="5" t="s">
        <v>35</v>
      </c>
      <c r="F318" s="5" t="s">
        <v>29</v>
      </c>
    </row>
    <row r="319" spans="1:6" ht="15.75" customHeight="1" x14ac:dyDescent="0.3">
      <c r="A319" s="4">
        <v>318</v>
      </c>
      <c r="B319" s="5" t="s">
        <v>595</v>
      </c>
      <c r="C319" s="5" t="s">
        <v>420</v>
      </c>
      <c r="D319" s="6">
        <f>593994986029</f>
        <v>593994986029</v>
      </c>
      <c r="E319" s="5" t="s">
        <v>32</v>
      </c>
      <c r="F319" s="5" t="s">
        <v>23</v>
      </c>
    </row>
    <row r="320" spans="1:6" ht="15.75" customHeight="1" x14ac:dyDescent="0.3">
      <c r="A320" s="4">
        <v>319</v>
      </c>
      <c r="B320" s="5" t="s">
        <v>596</v>
      </c>
      <c r="C320" s="5" t="s">
        <v>597</v>
      </c>
      <c r="D320" s="6">
        <f>593980675822</f>
        <v>593980675822</v>
      </c>
      <c r="E320" s="5" t="s">
        <v>35</v>
      </c>
      <c r="F320" s="5" t="s">
        <v>23</v>
      </c>
    </row>
    <row r="321" spans="1:6" ht="15.75" customHeight="1" x14ac:dyDescent="0.3">
      <c r="A321" s="4">
        <v>320</v>
      </c>
      <c r="B321" s="5" t="s">
        <v>598</v>
      </c>
      <c r="C321" s="5" t="s">
        <v>599</v>
      </c>
      <c r="D321" s="6">
        <f>593955223180</f>
        <v>593955223180</v>
      </c>
      <c r="E321" s="5" t="s">
        <v>35</v>
      </c>
      <c r="F321" s="5" t="s">
        <v>29</v>
      </c>
    </row>
    <row r="322" spans="1:6" ht="15.75" customHeight="1" x14ac:dyDescent="0.3">
      <c r="A322" s="4">
        <v>321</v>
      </c>
      <c r="B322" s="5" t="s">
        <v>600</v>
      </c>
      <c r="C322" s="5" t="s">
        <v>238</v>
      </c>
      <c r="D322" s="6">
        <f>593965657271</f>
        <v>593965657271</v>
      </c>
      <c r="E322" s="5" t="s">
        <v>59</v>
      </c>
      <c r="F322" s="5" t="s">
        <v>15</v>
      </c>
    </row>
    <row r="323" spans="1:6" ht="15.75" customHeight="1" x14ac:dyDescent="0.3">
      <c r="A323" s="4">
        <v>322</v>
      </c>
      <c r="B323" s="5" t="s">
        <v>601</v>
      </c>
      <c r="C323" s="5" t="s">
        <v>312</v>
      </c>
      <c r="D323" s="6">
        <f>593928450619</f>
        <v>593928450619</v>
      </c>
      <c r="E323" s="5" t="s">
        <v>41</v>
      </c>
      <c r="F323" s="5" t="s">
        <v>15</v>
      </c>
    </row>
    <row r="324" spans="1:6" ht="15.75" customHeight="1" x14ac:dyDescent="0.3">
      <c r="A324" s="4">
        <v>323</v>
      </c>
      <c r="B324" s="5" t="s">
        <v>602</v>
      </c>
      <c r="C324" s="5" t="s">
        <v>603</v>
      </c>
      <c r="D324" s="6">
        <f>593966227811</f>
        <v>593966227811</v>
      </c>
      <c r="E324" s="5" t="s">
        <v>66</v>
      </c>
      <c r="F324" s="5" t="s">
        <v>10</v>
      </c>
    </row>
    <row r="325" spans="1:6" ht="15.75" customHeight="1" x14ac:dyDescent="0.3">
      <c r="A325" s="4">
        <v>324</v>
      </c>
      <c r="B325" s="5" t="s">
        <v>604</v>
      </c>
      <c r="C325" s="5" t="s">
        <v>440</v>
      </c>
      <c r="D325" s="6">
        <f>593918758452</f>
        <v>593918758452</v>
      </c>
      <c r="E325" s="5" t="s">
        <v>51</v>
      </c>
      <c r="F325" s="5" t="s">
        <v>15</v>
      </c>
    </row>
    <row r="326" spans="1:6" ht="15.75" customHeight="1" x14ac:dyDescent="0.3">
      <c r="A326" s="4">
        <v>325</v>
      </c>
      <c r="B326" s="5" t="s">
        <v>605</v>
      </c>
      <c r="C326" s="5" t="s">
        <v>388</v>
      </c>
      <c r="D326" s="6">
        <f>593973754127</f>
        <v>593973754127</v>
      </c>
      <c r="E326" s="5" t="s">
        <v>41</v>
      </c>
      <c r="F326" s="5" t="s">
        <v>29</v>
      </c>
    </row>
    <row r="327" spans="1:6" ht="15.75" customHeight="1" x14ac:dyDescent="0.3">
      <c r="A327" s="4">
        <v>326</v>
      </c>
      <c r="B327" s="5" t="s">
        <v>606</v>
      </c>
      <c r="C327" s="5" t="s">
        <v>607</v>
      </c>
      <c r="D327" s="6">
        <f>593939160236</f>
        <v>593939160236</v>
      </c>
      <c r="E327" s="5" t="s">
        <v>59</v>
      </c>
      <c r="F327" s="5" t="s">
        <v>15</v>
      </c>
    </row>
    <row r="328" spans="1:6" ht="15.75" customHeight="1" x14ac:dyDescent="0.3">
      <c r="A328" s="4">
        <v>327</v>
      </c>
      <c r="B328" s="5" t="s">
        <v>608</v>
      </c>
      <c r="C328" s="5" t="s">
        <v>609</v>
      </c>
      <c r="D328" s="6">
        <f>593931832066</f>
        <v>593931832066</v>
      </c>
      <c r="E328" s="5" t="s">
        <v>32</v>
      </c>
      <c r="F328" s="5" t="s">
        <v>29</v>
      </c>
    </row>
    <row r="329" spans="1:6" ht="15.75" customHeight="1" x14ac:dyDescent="0.3">
      <c r="A329" s="4">
        <v>328</v>
      </c>
      <c r="B329" s="5" t="s">
        <v>610</v>
      </c>
      <c r="C329" s="5" t="s">
        <v>611</v>
      </c>
      <c r="D329" s="6">
        <f>593933985963</f>
        <v>593933985963</v>
      </c>
      <c r="E329" s="5" t="s">
        <v>121</v>
      </c>
      <c r="F329" s="5" t="s">
        <v>29</v>
      </c>
    </row>
    <row r="330" spans="1:6" ht="15.75" customHeight="1" x14ac:dyDescent="0.3">
      <c r="A330" s="4">
        <v>329</v>
      </c>
      <c r="B330" s="5" t="s">
        <v>612</v>
      </c>
      <c r="C330" s="5" t="s">
        <v>613</v>
      </c>
      <c r="D330" s="6">
        <f>593931742555</f>
        <v>593931742555</v>
      </c>
      <c r="E330" s="5" t="s">
        <v>66</v>
      </c>
      <c r="F330" s="5" t="s">
        <v>10</v>
      </c>
    </row>
    <row r="331" spans="1:6" ht="15.75" customHeight="1" x14ac:dyDescent="0.3">
      <c r="A331" s="4">
        <v>330</v>
      </c>
      <c r="B331" s="5" t="s">
        <v>614</v>
      </c>
      <c r="C331" s="5" t="s">
        <v>615</v>
      </c>
      <c r="D331" s="6">
        <f>593948505372</f>
        <v>593948505372</v>
      </c>
      <c r="E331" s="5" t="s">
        <v>66</v>
      </c>
      <c r="F331" s="5" t="s">
        <v>15</v>
      </c>
    </row>
    <row r="332" spans="1:6" ht="15.75" customHeight="1" x14ac:dyDescent="0.3">
      <c r="A332" s="4">
        <v>331</v>
      </c>
      <c r="B332" s="5" t="s">
        <v>616</v>
      </c>
      <c r="C332" s="5" t="s">
        <v>617</v>
      </c>
      <c r="D332" s="6">
        <f>593937889067</f>
        <v>593937889067</v>
      </c>
      <c r="E332" s="5" t="s">
        <v>32</v>
      </c>
      <c r="F332" s="5" t="s">
        <v>23</v>
      </c>
    </row>
    <row r="333" spans="1:6" ht="15.75" customHeight="1" x14ac:dyDescent="0.3">
      <c r="A333" s="4">
        <v>332</v>
      </c>
      <c r="B333" s="5" t="s">
        <v>226</v>
      </c>
      <c r="C333" s="5" t="s">
        <v>254</v>
      </c>
      <c r="D333" s="6">
        <f>593947095052</f>
        <v>593947095052</v>
      </c>
      <c r="E333" s="5" t="s">
        <v>14</v>
      </c>
      <c r="F333" s="5" t="s">
        <v>29</v>
      </c>
    </row>
    <row r="334" spans="1:6" ht="15.75" customHeight="1" x14ac:dyDescent="0.3">
      <c r="A334" s="4">
        <v>333</v>
      </c>
      <c r="B334" s="5" t="s">
        <v>618</v>
      </c>
      <c r="C334" s="5" t="s">
        <v>619</v>
      </c>
      <c r="D334" s="6">
        <f>593964072628</f>
        <v>593964072628</v>
      </c>
      <c r="E334" s="5" t="s">
        <v>19</v>
      </c>
      <c r="F334" s="5" t="s">
        <v>23</v>
      </c>
    </row>
    <row r="335" spans="1:6" ht="15.75" customHeight="1" x14ac:dyDescent="0.3">
      <c r="A335" s="4">
        <v>334</v>
      </c>
      <c r="B335" s="5" t="s">
        <v>620</v>
      </c>
      <c r="C335" s="5" t="s">
        <v>621</v>
      </c>
      <c r="D335" s="6">
        <f>593938567284</f>
        <v>593938567284</v>
      </c>
      <c r="E335" s="5" t="s">
        <v>9</v>
      </c>
      <c r="F335" s="5" t="s">
        <v>29</v>
      </c>
    </row>
    <row r="336" spans="1:6" ht="15.75" customHeight="1" x14ac:dyDescent="0.3">
      <c r="A336" s="4">
        <v>335</v>
      </c>
      <c r="B336" s="5" t="s">
        <v>622</v>
      </c>
      <c r="C336" s="5" t="s">
        <v>623</v>
      </c>
      <c r="D336" s="6">
        <f>593993147735</f>
        <v>593993147735</v>
      </c>
      <c r="E336" s="5" t="s">
        <v>66</v>
      </c>
      <c r="F336" s="5" t="s">
        <v>15</v>
      </c>
    </row>
    <row r="337" spans="1:6" ht="15.75" customHeight="1" x14ac:dyDescent="0.3">
      <c r="A337" s="4">
        <v>336</v>
      </c>
      <c r="B337" s="5" t="s">
        <v>624</v>
      </c>
      <c r="C337" s="5" t="s">
        <v>195</v>
      </c>
      <c r="D337" s="6">
        <f>593954085343</f>
        <v>593954085343</v>
      </c>
      <c r="E337" s="5" t="s">
        <v>44</v>
      </c>
      <c r="F337" s="5" t="s">
        <v>15</v>
      </c>
    </row>
    <row r="338" spans="1:6" ht="15.75" customHeight="1" x14ac:dyDescent="0.3">
      <c r="A338" s="4">
        <v>337</v>
      </c>
      <c r="B338" s="5" t="s">
        <v>625</v>
      </c>
      <c r="C338" s="5" t="s">
        <v>626</v>
      </c>
      <c r="D338" s="6">
        <f>593938262189</f>
        <v>593938262189</v>
      </c>
      <c r="E338" s="5" t="s">
        <v>51</v>
      </c>
      <c r="F338" s="5" t="s">
        <v>15</v>
      </c>
    </row>
    <row r="339" spans="1:6" ht="15.75" customHeight="1" x14ac:dyDescent="0.3">
      <c r="A339" s="4">
        <v>338</v>
      </c>
      <c r="B339" s="5" t="s">
        <v>627</v>
      </c>
      <c r="C339" s="5" t="s">
        <v>248</v>
      </c>
      <c r="D339" s="6">
        <f>593946757567</f>
        <v>593946757567</v>
      </c>
      <c r="E339" s="5" t="s">
        <v>66</v>
      </c>
      <c r="F339" s="5" t="s">
        <v>23</v>
      </c>
    </row>
    <row r="340" spans="1:6" ht="15.75" customHeight="1" x14ac:dyDescent="0.3">
      <c r="A340" s="4">
        <v>339</v>
      </c>
      <c r="B340" s="5" t="s">
        <v>628</v>
      </c>
      <c r="C340" s="5" t="s">
        <v>629</v>
      </c>
      <c r="D340" s="6">
        <f>593998523956</f>
        <v>593998523956</v>
      </c>
      <c r="E340" s="5" t="s">
        <v>44</v>
      </c>
      <c r="F340" s="5" t="s">
        <v>15</v>
      </c>
    </row>
    <row r="341" spans="1:6" ht="15.75" customHeight="1" x14ac:dyDescent="0.3">
      <c r="A341" s="4">
        <v>340</v>
      </c>
      <c r="B341" s="5" t="s">
        <v>630</v>
      </c>
      <c r="C341" s="5" t="s">
        <v>631</v>
      </c>
      <c r="D341" s="6">
        <f>593996709094</f>
        <v>593996709094</v>
      </c>
      <c r="E341" s="5" t="s">
        <v>19</v>
      </c>
      <c r="F341" s="5" t="s">
        <v>23</v>
      </c>
    </row>
    <row r="342" spans="1:6" ht="15.75" customHeight="1" x14ac:dyDescent="0.3">
      <c r="A342" s="4">
        <v>341</v>
      </c>
      <c r="B342" s="5" t="s">
        <v>632</v>
      </c>
      <c r="C342" s="5" t="s">
        <v>633</v>
      </c>
      <c r="D342" s="6">
        <f>593915922139</f>
        <v>593915922139</v>
      </c>
      <c r="E342" s="5" t="s">
        <v>51</v>
      </c>
      <c r="F342" s="5" t="s">
        <v>15</v>
      </c>
    </row>
    <row r="343" spans="1:6" ht="15.75" customHeight="1" x14ac:dyDescent="0.3">
      <c r="A343" s="4">
        <v>342</v>
      </c>
      <c r="B343" s="5" t="s">
        <v>634</v>
      </c>
      <c r="C343" s="5" t="s">
        <v>316</v>
      </c>
      <c r="D343" s="6">
        <f>593980869101</f>
        <v>593980869101</v>
      </c>
      <c r="E343" s="5" t="s">
        <v>32</v>
      </c>
      <c r="F343" s="5" t="s">
        <v>15</v>
      </c>
    </row>
    <row r="344" spans="1:6" ht="15.75" customHeight="1" x14ac:dyDescent="0.3">
      <c r="A344" s="4">
        <v>343</v>
      </c>
      <c r="B344" s="5" t="s">
        <v>635</v>
      </c>
      <c r="C344" s="5" t="s">
        <v>397</v>
      </c>
      <c r="D344" s="6">
        <f>593917346096</f>
        <v>593917346096</v>
      </c>
      <c r="E344" s="5" t="s">
        <v>14</v>
      </c>
      <c r="F344" s="5" t="s">
        <v>23</v>
      </c>
    </row>
    <row r="345" spans="1:6" ht="15.75" customHeight="1" x14ac:dyDescent="0.3">
      <c r="A345" s="4">
        <v>344</v>
      </c>
      <c r="B345" s="5" t="s">
        <v>394</v>
      </c>
      <c r="C345" s="5" t="s">
        <v>636</v>
      </c>
      <c r="D345" s="6">
        <f>593985521788</f>
        <v>593985521788</v>
      </c>
      <c r="E345" s="5" t="s">
        <v>59</v>
      </c>
      <c r="F345" s="5" t="s">
        <v>10</v>
      </c>
    </row>
    <row r="346" spans="1:6" ht="15.75" customHeight="1" x14ac:dyDescent="0.3">
      <c r="A346" s="4">
        <v>345</v>
      </c>
      <c r="B346" s="5" t="s">
        <v>637</v>
      </c>
      <c r="C346" s="5" t="s">
        <v>638</v>
      </c>
      <c r="D346" s="6">
        <f>593987753244</f>
        <v>593987753244</v>
      </c>
      <c r="E346" s="5" t="s">
        <v>9</v>
      </c>
      <c r="F346" s="5" t="s">
        <v>23</v>
      </c>
    </row>
    <row r="347" spans="1:6" ht="15.75" customHeight="1" x14ac:dyDescent="0.3">
      <c r="A347" s="4">
        <v>346</v>
      </c>
      <c r="B347" s="5" t="s">
        <v>639</v>
      </c>
      <c r="C347" s="5" t="s">
        <v>418</v>
      </c>
      <c r="D347" s="6">
        <f>593956212678</f>
        <v>593956212678</v>
      </c>
      <c r="E347" s="5" t="s">
        <v>35</v>
      </c>
      <c r="F347" s="5" t="s">
        <v>23</v>
      </c>
    </row>
    <row r="348" spans="1:6" ht="15.75" customHeight="1" x14ac:dyDescent="0.3">
      <c r="A348" s="4">
        <v>347</v>
      </c>
      <c r="B348" s="5" t="s">
        <v>394</v>
      </c>
      <c r="C348" s="5" t="s">
        <v>640</v>
      </c>
      <c r="D348" s="6">
        <f>593998956056</f>
        <v>593998956056</v>
      </c>
      <c r="E348" s="5" t="s">
        <v>44</v>
      </c>
      <c r="F348" s="5" t="s">
        <v>15</v>
      </c>
    </row>
    <row r="349" spans="1:6" ht="15.75" customHeight="1" x14ac:dyDescent="0.3">
      <c r="A349" s="4">
        <v>348</v>
      </c>
      <c r="B349" s="5" t="s">
        <v>641</v>
      </c>
      <c r="C349" s="5" t="s">
        <v>491</v>
      </c>
      <c r="D349" s="6">
        <f>593993191989</f>
        <v>593993191989</v>
      </c>
      <c r="E349" s="5" t="s">
        <v>51</v>
      </c>
      <c r="F349" s="5" t="s">
        <v>23</v>
      </c>
    </row>
    <row r="350" spans="1:6" ht="15.75" customHeight="1" x14ac:dyDescent="0.3">
      <c r="A350" s="4">
        <v>349</v>
      </c>
      <c r="B350" s="5" t="s">
        <v>642</v>
      </c>
      <c r="C350" s="5" t="s">
        <v>571</v>
      </c>
      <c r="D350" s="6">
        <f>593926866941</f>
        <v>593926866941</v>
      </c>
      <c r="E350" s="5" t="s">
        <v>14</v>
      </c>
      <c r="F350" s="5" t="s">
        <v>10</v>
      </c>
    </row>
    <row r="351" spans="1:6" ht="15.75" customHeight="1" x14ac:dyDescent="0.3">
      <c r="A351" s="4">
        <v>350</v>
      </c>
      <c r="B351" s="5" t="s">
        <v>643</v>
      </c>
      <c r="C351" s="5" t="s">
        <v>638</v>
      </c>
      <c r="D351" s="6">
        <f>593912655944</f>
        <v>593912655944</v>
      </c>
      <c r="E351" s="5" t="s">
        <v>38</v>
      </c>
      <c r="F351" s="5" t="s">
        <v>10</v>
      </c>
    </row>
    <row r="352" spans="1:6" ht="15.75" customHeight="1" x14ac:dyDescent="0.3">
      <c r="A352" s="4">
        <v>351</v>
      </c>
      <c r="B352" s="5" t="s">
        <v>644</v>
      </c>
      <c r="C352" s="5" t="s">
        <v>645</v>
      </c>
      <c r="D352" s="6">
        <f>593924565020</f>
        <v>593924565020</v>
      </c>
      <c r="E352" s="5" t="s">
        <v>66</v>
      </c>
      <c r="F352" s="5" t="s">
        <v>10</v>
      </c>
    </row>
    <row r="353" spans="1:6" ht="15.75" customHeight="1" x14ac:dyDescent="0.3">
      <c r="A353" s="4">
        <v>352</v>
      </c>
      <c r="B353" s="5" t="s">
        <v>99</v>
      </c>
      <c r="C353" s="5" t="s">
        <v>646</v>
      </c>
      <c r="D353" s="6">
        <f>593941979788</f>
        <v>593941979788</v>
      </c>
      <c r="E353" s="5" t="s">
        <v>9</v>
      </c>
      <c r="F353" s="5" t="s">
        <v>10</v>
      </c>
    </row>
    <row r="354" spans="1:6" ht="15.75" customHeight="1" x14ac:dyDescent="0.3">
      <c r="A354" s="4">
        <v>353</v>
      </c>
      <c r="B354" s="5" t="s">
        <v>647</v>
      </c>
      <c r="C354" s="5" t="s">
        <v>380</v>
      </c>
      <c r="D354" s="6">
        <f>593941965045</f>
        <v>593941965045</v>
      </c>
      <c r="E354" s="5" t="s">
        <v>9</v>
      </c>
      <c r="F354" s="5" t="s">
        <v>15</v>
      </c>
    </row>
    <row r="355" spans="1:6" ht="15.75" customHeight="1" x14ac:dyDescent="0.3">
      <c r="A355" s="4">
        <v>354</v>
      </c>
      <c r="B355" s="5" t="s">
        <v>648</v>
      </c>
      <c r="C355" s="5" t="s">
        <v>649</v>
      </c>
      <c r="D355" s="6">
        <f>593964651312</f>
        <v>593964651312</v>
      </c>
      <c r="E355" s="5" t="s">
        <v>44</v>
      </c>
      <c r="F355" s="5" t="s">
        <v>29</v>
      </c>
    </row>
    <row r="356" spans="1:6" ht="15.75" customHeight="1" x14ac:dyDescent="0.3">
      <c r="A356" s="4">
        <v>355</v>
      </c>
      <c r="B356" s="5" t="s">
        <v>124</v>
      </c>
      <c r="C356" s="5" t="s">
        <v>344</v>
      </c>
      <c r="D356" s="6">
        <f>593953323054</f>
        <v>593953323054</v>
      </c>
      <c r="E356" s="5" t="s">
        <v>38</v>
      </c>
      <c r="F356" s="5" t="s">
        <v>15</v>
      </c>
    </row>
    <row r="357" spans="1:6" ht="15.75" customHeight="1" x14ac:dyDescent="0.3">
      <c r="A357" s="4">
        <v>356</v>
      </c>
      <c r="B357" s="5" t="s">
        <v>650</v>
      </c>
      <c r="C357" s="5" t="s">
        <v>651</v>
      </c>
      <c r="D357" s="6">
        <f>593961395191</f>
        <v>593961395191</v>
      </c>
      <c r="E357" s="5" t="s">
        <v>44</v>
      </c>
      <c r="F357" s="5" t="s">
        <v>15</v>
      </c>
    </row>
    <row r="358" spans="1:6" ht="15.75" customHeight="1" x14ac:dyDescent="0.3">
      <c r="A358" s="4">
        <v>357</v>
      </c>
      <c r="B358" s="5" t="s">
        <v>652</v>
      </c>
      <c r="C358" s="5" t="s">
        <v>653</v>
      </c>
      <c r="D358" s="6">
        <f>593965980557</f>
        <v>593965980557</v>
      </c>
      <c r="E358" s="5" t="s">
        <v>59</v>
      </c>
      <c r="F358" s="5" t="s">
        <v>23</v>
      </c>
    </row>
    <row r="359" spans="1:6" ht="15.75" customHeight="1" x14ac:dyDescent="0.3">
      <c r="A359" s="4">
        <v>358</v>
      </c>
      <c r="B359" s="5" t="s">
        <v>654</v>
      </c>
      <c r="C359" s="5" t="s">
        <v>655</v>
      </c>
      <c r="D359" s="6">
        <f>593991846496</f>
        <v>593991846496</v>
      </c>
      <c r="E359" s="5" t="s">
        <v>51</v>
      </c>
      <c r="F359" s="5" t="s">
        <v>10</v>
      </c>
    </row>
    <row r="360" spans="1:6" ht="15.75" customHeight="1" x14ac:dyDescent="0.3">
      <c r="A360" s="4">
        <v>359</v>
      </c>
      <c r="B360" s="5" t="s">
        <v>656</v>
      </c>
      <c r="C360" s="5" t="s">
        <v>657</v>
      </c>
      <c r="D360" s="6">
        <f>593950355195</f>
        <v>593950355195</v>
      </c>
      <c r="E360" s="5" t="s">
        <v>121</v>
      </c>
      <c r="F360" s="5" t="s">
        <v>10</v>
      </c>
    </row>
    <row r="361" spans="1:6" ht="15.75" customHeight="1" x14ac:dyDescent="0.3">
      <c r="A361" s="4">
        <v>360</v>
      </c>
      <c r="B361" s="5" t="s">
        <v>658</v>
      </c>
      <c r="C361" s="5" t="s">
        <v>619</v>
      </c>
      <c r="D361" s="6">
        <f>593987599204</f>
        <v>593987599204</v>
      </c>
      <c r="E361" s="5" t="s">
        <v>56</v>
      </c>
      <c r="F361" s="5" t="s">
        <v>15</v>
      </c>
    </row>
    <row r="362" spans="1:6" ht="15.75" customHeight="1" x14ac:dyDescent="0.3">
      <c r="A362" s="4">
        <v>361</v>
      </c>
      <c r="B362" s="5" t="s">
        <v>659</v>
      </c>
      <c r="C362" s="5" t="s">
        <v>318</v>
      </c>
      <c r="D362" s="6">
        <f>593947354061</f>
        <v>593947354061</v>
      </c>
      <c r="E362" s="5" t="s">
        <v>14</v>
      </c>
      <c r="F362" s="5" t="s">
        <v>29</v>
      </c>
    </row>
    <row r="363" spans="1:6" ht="15.75" customHeight="1" x14ac:dyDescent="0.3">
      <c r="A363" s="4">
        <v>362</v>
      </c>
      <c r="B363" s="5" t="s">
        <v>660</v>
      </c>
      <c r="C363" s="5" t="s">
        <v>661</v>
      </c>
      <c r="D363" s="6">
        <f>593988446130</f>
        <v>593988446130</v>
      </c>
      <c r="E363" s="5" t="s">
        <v>44</v>
      </c>
      <c r="F363" s="5" t="s">
        <v>29</v>
      </c>
    </row>
    <row r="364" spans="1:6" ht="15.75" customHeight="1" x14ac:dyDescent="0.3">
      <c r="A364" s="4">
        <v>363</v>
      </c>
      <c r="B364" s="5" t="s">
        <v>662</v>
      </c>
      <c r="C364" s="5" t="s">
        <v>513</v>
      </c>
      <c r="D364" s="6">
        <f>593933940417</f>
        <v>593933940417</v>
      </c>
      <c r="E364" s="5" t="s">
        <v>9</v>
      </c>
      <c r="F364" s="5" t="s">
        <v>23</v>
      </c>
    </row>
    <row r="365" spans="1:6" ht="15.75" customHeight="1" x14ac:dyDescent="0.3">
      <c r="A365" s="4">
        <v>364</v>
      </c>
      <c r="B365" s="5" t="s">
        <v>663</v>
      </c>
      <c r="C365" s="5" t="s">
        <v>664</v>
      </c>
      <c r="D365" s="6">
        <f>593981924180</f>
        <v>593981924180</v>
      </c>
      <c r="E365" s="5" t="s">
        <v>19</v>
      </c>
      <c r="F365" s="5" t="s">
        <v>15</v>
      </c>
    </row>
    <row r="366" spans="1:6" ht="15.75" customHeight="1" x14ac:dyDescent="0.3">
      <c r="A366" s="4">
        <v>365</v>
      </c>
      <c r="B366" s="5" t="s">
        <v>665</v>
      </c>
      <c r="C366" s="5" t="s">
        <v>666</v>
      </c>
      <c r="D366" s="6">
        <f>593933907655</f>
        <v>593933907655</v>
      </c>
      <c r="E366" s="5" t="s">
        <v>59</v>
      </c>
      <c r="F366" s="5" t="s">
        <v>15</v>
      </c>
    </row>
    <row r="367" spans="1:6" ht="15.75" customHeight="1" x14ac:dyDescent="0.3">
      <c r="A367" s="4">
        <v>366</v>
      </c>
      <c r="B367" s="5" t="s">
        <v>667</v>
      </c>
      <c r="C367" s="5" t="s">
        <v>668</v>
      </c>
      <c r="D367" s="6">
        <f>593965401662</f>
        <v>593965401662</v>
      </c>
      <c r="E367" s="5" t="s">
        <v>38</v>
      </c>
      <c r="F367" s="5" t="s">
        <v>23</v>
      </c>
    </row>
    <row r="368" spans="1:6" ht="15.75" customHeight="1" x14ac:dyDescent="0.3">
      <c r="A368" s="4">
        <v>367</v>
      </c>
      <c r="B368" s="5" t="s">
        <v>669</v>
      </c>
      <c r="C368" s="5" t="s">
        <v>670</v>
      </c>
      <c r="D368" s="6">
        <f>593987751225</f>
        <v>593987751225</v>
      </c>
      <c r="E368" s="5" t="s">
        <v>32</v>
      </c>
      <c r="F368" s="5" t="s">
        <v>10</v>
      </c>
    </row>
    <row r="369" spans="1:6" ht="15.75" customHeight="1" x14ac:dyDescent="0.3">
      <c r="A369" s="4">
        <v>368</v>
      </c>
      <c r="B369" s="5" t="s">
        <v>671</v>
      </c>
      <c r="C369" s="5" t="s">
        <v>506</v>
      </c>
      <c r="D369" s="6">
        <f>593987444932</f>
        <v>593987444932</v>
      </c>
      <c r="E369" s="5" t="s">
        <v>51</v>
      </c>
      <c r="F369" s="5" t="s">
        <v>29</v>
      </c>
    </row>
    <row r="370" spans="1:6" ht="15.75" customHeight="1" x14ac:dyDescent="0.3">
      <c r="A370" s="4">
        <v>369</v>
      </c>
      <c r="B370" s="5" t="s">
        <v>672</v>
      </c>
      <c r="C370" s="5" t="s">
        <v>210</v>
      </c>
      <c r="D370" s="6">
        <f>593998962902</f>
        <v>593998962902</v>
      </c>
      <c r="E370" s="5" t="s">
        <v>51</v>
      </c>
      <c r="F370" s="5" t="s">
        <v>10</v>
      </c>
    </row>
    <row r="371" spans="1:6" ht="15.75" customHeight="1" x14ac:dyDescent="0.3">
      <c r="A371" s="4">
        <v>370</v>
      </c>
      <c r="B371" s="5" t="s">
        <v>673</v>
      </c>
      <c r="C371" s="5" t="s">
        <v>393</v>
      </c>
      <c r="D371" s="6">
        <f>593928326243</f>
        <v>593928326243</v>
      </c>
      <c r="E371" s="5" t="s">
        <v>14</v>
      </c>
      <c r="F371" s="5" t="s">
        <v>29</v>
      </c>
    </row>
    <row r="372" spans="1:6" ht="15.75" customHeight="1" x14ac:dyDescent="0.3">
      <c r="A372" s="4">
        <v>371</v>
      </c>
      <c r="B372" s="5" t="s">
        <v>618</v>
      </c>
      <c r="C372" s="5" t="s">
        <v>674</v>
      </c>
      <c r="D372" s="6">
        <f>593953102726</f>
        <v>593953102726</v>
      </c>
      <c r="E372" s="5" t="s">
        <v>44</v>
      </c>
      <c r="F372" s="5" t="s">
        <v>15</v>
      </c>
    </row>
    <row r="373" spans="1:6" ht="15.75" customHeight="1" x14ac:dyDescent="0.3">
      <c r="A373" s="4">
        <v>372</v>
      </c>
      <c r="B373" s="5" t="s">
        <v>675</v>
      </c>
      <c r="C373" s="5" t="s">
        <v>676</v>
      </c>
      <c r="D373" s="6">
        <f>593979005686</f>
        <v>593979005686</v>
      </c>
      <c r="E373" s="5" t="s">
        <v>38</v>
      </c>
      <c r="F373" s="5" t="s">
        <v>15</v>
      </c>
    </row>
    <row r="374" spans="1:6" ht="15.75" customHeight="1" x14ac:dyDescent="0.3">
      <c r="A374" s="4">
        <v>373</v>
      </c>
      <c r="B374" s="5" t="s">
        <v>677</v>
      </c>
      <c r="C374" s="5" t="s">
        <v>678</v>
      </c>
      <c r="D374" s="6">
        <f>593940391844</f>
        <v>593940391844</v>
      </c>
      <c r="E374" s="5" t="s">
        <v>51</v>
      </c>
      <c r="F374" s="5" t="s">
        <v>10</v>
      </c>
    </row>
    <row r="375" spans="1:6" ht="15.75" customHeight="1" x14ac:dyDescent="0.3">
      <c r="A375" s="4">
        <v>374</v>
      </c>
      <c r="B375" s="5" t="s">
        <v>679</v>
      </c>
      <c r="C375" s="5" t="s">
        <v>576</v>
      </c>
      <c r="D375" s="6">
        <f>593920385116</f>
        <v>593920385116</v>
      </c>
      <c r="E375" s="5" t="s">
        <v>121</v>
      </c>
      <c r="F375" s="5" t="s">
        <v>10</v>
      </c>
    </row>
    <row r="376" spans="1:6" ht="15.75" customHeight="1" x14ac:dyDescent="0.3">
      <c r="A376" s="4">
        <v>375</v>
      </c>
      <c r="B376" s="5" t="s">
        <v>680</v>
      </c>
      <c r="C376" s="5" t="s">
        <v>388</v>
      </c>
      <c r="D376" s="6">
        <f>593994813368</f>
        <v>593994813368</v>
      </c>
      <c r="E376" s="5" t="s">
        <v>19</v>
      </c>
      <c r="F376" s="5" t="s">
        <v>29</v>
      </c>
    </row>
    <row r="377" spans="1:6" ht="15.75" customHeight="1" x14ac:dyDescent="0.3">
      <c r="A377" s="4">
        <v>376</v>
      </c>
      <c r="B377" s="5" t="s">
        <v>681</v>
      </c>
      <c r="C377" s="5" t="s">
        <v>682</v>
      </c>
      <c r="D377" s="6">
        <f>593926945911</f>
        <v>593926945911</v>
      </c>
      <c r="E377" s="5" t="s">
        <v>9</v>
      </c>
      <c r="F377" s="5" t="s">
        <v>15</v>
      </c>
    </row>
    <row r="378" spans="1:6" ht="15.75" customHeight="1" x14ac:dyDescent="0.3">
      <c r="A378" s="4">
        <v>377</v>
      </c>
      <c r="B378" s="5" t="s">
        <v>683</v>
      </c>
      <c r="C378" s="5" t="s">
        <v>684</v>
      </c>
      <c r="D378" s="6">
        <f>593936913406</f>
        <v>593936913406</v>
      </c>
      <c r="E378" s="5" t="s">
        <v>38</v>
      </c>
      <c r="F378" s="5" t="s">
        <v>23</v>
      </c>
    </row>
    <row r="379" spans="1:6" ht="15.75" customHeight="1" x14ac:dyDescent="0.3">
      <c r="A379" s="4">
        <v>378</v>
      </c>
      <c r="B379" s="5" t="s">
        <v>685</v>
      </c>
      <c r="C379" s="5" t="s">
        <v>686</v>
      </c>
      <c r="D379" s="6">
        <f>593957730833</f>
        <v>593957730833</v>
      </c>
      <c r="E379" s="5" t="s">
        <v>56</v>
      </c>
      <c r="F379" s="5" t="s">
        <v>15</v>
      </c>
    </row>
    <row r="380" spans="1:6" ht="15.75" customHeight="1" x14ac:dyDescent="0.3">
      <c r="A380" s="4">
        <v>379</v>
      </c>
      <c r="B380" s="5" t="s">
        <v>687</v>
      </c>
      <c r="C380" s="5" t="s">
        <v>688</v>
      </c>
      <c r="D380" s="6">
        <f>593972120022</f>
        <v>593972120022</v>
      </c>
      <c r="E380" s="5" t="s">
        <v>35</v>
      </c>
      <c r="F380" s="5" t="s">
        <v>23</v>
      </c>
    </row>
    <row r="381" spans="1:6" ht="15.75" customHeight="1" x14ac:dyDescent="0.3">
      <c r="A381" s="4">
        <v>380</v>
      </c>
      <c r="B381" s="5" t="s">
        <v>689</v>
      </c>
      <c r="C381" s="5" t="s">
        <v>690</v>
      </c>
      <c r="D381" s="6">
        <f>593927985722</f>
        <v>593927985722</v>
      </c>
      <c r="E381" s="5" t="s">
        <v>66</v>
      </c>
      <c r="F381" s="5" t="s">
        <v>10</v>
      </c>
    </row>
    <row r="382" spans="1:6" ht="15.75" customHeight="1" x14ac:dyDescent="0.3">
      <c r="A382" s="4">
        <v>381</v>
      </c>
      <c r="B382" s="5" t="s">
        <v>691</v>
      </c>
      <c r="C382" s="5" t="s">
        <v>342</v>
      </c>
      <c r="D382" s="6">
        <f>593976114455</f>
        <v>593976114455</v>
      </c>
      <c r="E382" s="5" t="s">
        <v>59</v>
      </c>
      <c r="F382" s="5" t="s">
        <v>29</v>
      </c>
    </row>
    <row r="383" spans="1:6" ht="15.75" customHeight="1" x14ac:dyDescent="0.3">
      <c r="A383" s="4">
        <v>382</v>
      </c>
      <c r="B383" s="5" t="s">
        <v>692</v>
      </c>
      <c r="C383" s="5" t="s">
        <v>693</v>
      </c>
      <c r="D383" s="6">
        <f>593969289913</f>
        <v>593969289913</v>
      </c>
      <c r="E383" s="5" t="s">
        <v>19</v>
      </c>
      <c r="F383" s="5" t="s">
        <v>29</v>
      </c>
    </row>
    <row r="384" spans="1:6" ht="15.75" customHeight="1" x14ac:dyDescent="0.3">
      <c r="A384" s="4">
        <v>383</v>
      </c>
      <c r="B384" s="5" t="s">
        <v>694</v>
      </c>
      <c r="C384" s="5" t="s">
        <v>531</v>
      </c>
      <c r="D384" s="6">
        <f>593929816100</f>
        <v>593929816100</v>
      </c>
      <c r="E384" s="5" t="s">
        <v>35</v>
      </c>
      <c r="F384" s="5" t="s">
        <v>15</v>
      </c>
    </row>
    <row r="385" spans="1:6" ht="15.75" customHeight="1" x14ac:dyDescent="0.3">
      <c r="A385" s="4">
        <v>384</v>
      </c>
      <c r="B385" s="5" t="s">
        <v>507</v>
      </c>
      <c r="C385" s="5" t="s">
        <v>695</v>
      </c>
      <c r="D385" s="6">
        <f>593999877132</f>
        <v>593999877132</v>
      </c>
      <c r="E385" s="5" t="s">
        <v>19</v>
      </c>
      <c r="F385" s="5" t="s">
        <v>23</v>
      </c>
    </row>
    <row r="386" spans="1:6" ht="15.75" customHeight="1" x14ac:dyDescent="0.3">
      <c r="A386" s="4">
        <v>385</v>
      </c>
      <c r="B386" s="5" t="s">
        <v>696</v>
      </c>
      <c r="C386" s="5" t="s">
        <v>697</v>
      </c>
      <c r="D386" s="6">
        <f>593940783841</f>
        <v>593940783841</v>
      </c>
      <c r="E386" s="5" t="s">
        <v>9</v>
      </c>
      <c r="F386" s="5" t="s">
        <v>23</v>
      </c>
    </row>
    <row r="387" spans="1:6" ht="15.75" customHeight="1" x14ac:dyDescent="0.3">
      <c r="A387" s="4">
        <v>386</v>
      </c>
      <c r="B387" s="5" t="s">
        <v>698</v>
      </c>
      <c r="C387" s="5" t="s">
        <v>699</v>
      </c>
      <c r="D387" s="6">
        <f>593915000840</f>
        <v>593915000840</v>
      </c>
      <c r="E387" s="5" t="s">
        <v>66</v>
      </c>
      <c r="F387" s="5" t="s">
        <v>10</v>
      </c>
    </row>
    <row r="388" spans="1:6" ht="15.75" customHeight="1" x14ac:dyDescent="0.3">
      <c r="A388" s="4">
        <v>387</v>
      </c>
      <c r="B388" s="5" t="s">
        <v>700</v>
      </c>
      <c r="C388" s="5" t="s">
        <v>701</v>
      </c>
      <c r="D388" s="6">
        <f>593975743089</f>
        <v>593975743089</v>
      </c>
      <c r="E388" s="5" t="s">
        <v>35</v>
      </c>
      <c r="F388" s="5" t="s">
        <v>29</v>
      </c>
    </row>
    <row r="389" spans="1:6" ht="15.75" customHeight="1" x14ac:dyDescent="0.3">
      <c r="A389" s="4">
        <v>388</v>
      </c>
      <c r="B389" s="5" t="s">
        <v>702</v>
      </c>
      <c r="C389" s="5" t="s">
        <v>143</v>
      </c>
      <c r="D389" s="6">
        <f>593982209426</f>
        <v>593982209426</v>
      </c>
      <c r="E389" s="5" t="s">
        <v>121</v>
      </c>
      <c r="F389" s="5" t="s">
        <v>23</v>
      </c>
    </row>
    <row r="390" spans="1:6" ht="15.75" customHeight="1" x14ac:dyDescent="0.3">
      <c r="A390" s="4">
        <v>389</v>
      </c>
      <c r="B390" s="5" t="s">
        <v>703</v>
      </c>
      <c r="C390" s="5" t="s">
        <v>531</v>
      </c>
      <c r="D390" s="6">
        <f>593963466371</f>
        <v>593963466371</v>
      </c>
      <c r="E390" s="5" t="s">
        <v>38</v>
      </c>
      <c r="F390" s="5" t="s">
        <v>29</v>
      </c>
    </row>
    <row r="391" spans="1:6" ht="15.75" customHeight="1" x14ac:dyDescent="0.3">
      <c r="A391" s="4">
        <v>390</v>
      </c>
      <c r="B391" s="5" t="s">
        <v>704</v>
      </c>
      <c r="C391" s="5" t="s">
        <v>705</v>
      </c>
      <c r="D391" s="6">
        <f>593925400935</f>
        <v>593925400935</v>
      </c>
      <c r="E391" s="5" t="s">
        <v>41</v>
      </c>
      <c r="F391" s="5" t="s">
        <v>10</v>
      </c>
    </row>
    <row r="392" spans="1:6" ht="15.75" customHeight="1" x14ac:dyDescent="0.3">
      <c r="A392" s="4">
        <v>391</v>
      </c>
      <c r="B392" s="5" t="s">
        <v>706</v>
      </c>
      <c r="C392" s="5" t="s">
        <v>364</v>
      </c>
      <c r="D392" s="6">
        <f>593929855676</f>
        <v>593929855676</v>
      </c>
      <c r="E392" s="5" t="s">
        <v>66</v>
      </c>
      <c r="F392" s="5" t="s">
        <v>15</v>
      </c>
    </row>
    <row r="393" spans="1:6" ht="15.75" customHeight="1" x14ac:dyDescent="0.3">
      <c r="A393" s="4">
        <v>392</v>
      </c>
      <c r="B393" s="5" t="s">
        <v>707</v>
      </c>
      <c r="C393" s="5" t="s">
        <v>465</v>
      </c>
      <c r="D393" s="6">
        <f>593917540199</f>
        <v>593917540199</v>
      </c>
      <c r="E393" s="5" t="s">
        <v>9</v>
      </c>
      <c r="F393" s="5" t="s">
        <v>15</v>
      </c>
    </row>
    <row r="394" spans="1:6" ht="15.75" customHeight="1" x14ac:dyDescent="0.3">
      <c r="A394" s="4">
        <v>393</v>
      </c>
      <c r="B394" s="5" t="s">
        <v>708</v>
      </c>
      <c r="C394" s="5" t="s">
        <v>709</v>
      </c>
      <c r="D394" s="6">
        <f>593985396575</f>
        <v>593985396575</v>
      </c>
      <c r="E394" s="5" t="s">
        <v>44</v>
      </c>
      <c r="F394" s="5" t="s">
        <v>23</v>
      </c>
    </row>
    <row r="395" spans="1:6" ht="15.75" customHeight="1" x14ac:dyDescent="0.3">
      <c r="A395" s="4">
        <v>394</v>
      </c>
      <c r="B395" s="5" t="s">
        <v>710</v>
      </c>
      <c r="C395" s="5" t="s">
        <v>711</v>
      </c>
      <c r="D395" s="6">
        <f>593995465575</f>
        <v>593995465575</v>
      </c>
      <c r="E395" s="5" t="s">
        <v>51</v>
      </c>
      <c r="F395" s="5" t="s">
        <v>29</v>
      </c>
    </row>
    <row r="396" spans="1:6" ht="15.75" customHeight="1" x14ac:dyDescent="0.3">
      <c r="A396" s="4">
        <v>395</v>
      </c>
      <c r="B396" s="5" t="s">
        <v>712</v>
      </c>
      <c r="C396" s="5" t="s">
        <v>713</v>
      </c>
      <c r="D396" s="6">
        <f>593910624349</f>
        <v>593910624349</v>
      </c>
      <c r="E396" s="5" t="s">
        <v>51</v>
      </c>
      <c r="F396" s="5" t="s">
        <v>23</v>
      </c>
    </row>
    <row r="397" spans="1:6" ht="15.75" customHeight="1" x14ac:dyDescent="0.3">
      <c r="A397" s="4">
        <v>396</v>
      </c>
      <c r="B397" s="5" t="s">
        <v>714</v>
      </c>
      <c r="C397" s="5" t="s">
        <v>715</v>
      </c>
      <c r="D397" s="6">
        <f>593955556056</f>
        <v>593955556056</v>
      </c>
      <c r="E397" s="5" t="s">
        <v>51</v>
      </c>
      <c r="F397" s="5" t="s">
        <v>23</v>
      </c>
    </row>
    <row r="398" spans="1:6" ht="15.75" customHeight="1" x14ac:dyDescent="0.3">
      <c r="A398" s="4">
        <v>397</v>
      </c>
      <c r="B398" s="5" t="s">
        <v>716</v>
      </c>
      <c r="C398" s="5" t="s">
        <v>717</v>
      </c>
      <c r="D398" s="6">
        <f>593973501439</f>
        <v>593973501439</v>
      </c>
      <c r="E398" s="5" t="s">
        <v>35</v>
      </c>
      <c r="F398" s="5" t="s">
        <v>15</v>
      </c>
    </row>
    <row r="399" spans="1:6" ht="15.75" customHeight="1" x14ac:dyDescent="0.3">
      <c r="A399" s="4">
        <v>398</v>
      </c>
      <c r="B399" s="5" t="s">
        <v>468</v>
      </c>
      <c r="C399" s="5" t="s">
        <v>718</v>
      </c>
      <c r="D399" s="6">
        <f>593956919086</f>
        <v>593956919086</v>
      </c>
      <c r="E399" s="5" t="s">
        <v>59</v>
      </c>
      <c r="F399" s="5" t="s">
        <v>15</v>
      </c>
    </row>
    <row r="400" spans="1:6" ht="15.75" customHeight="1" x14ac:dyDescent="0.3">
      <c r="A400" s="4">
        <v>399</v>
      </c>
      <c r="B400" s="5" t="s">
        <v>719</v>
      </c>
      <c r="C400" s="5" t="s">
        <v>720</v>
      </c>
      <c r="D400" s="6">
        <f>593970449922</f>
        <v>593970449922</v>
      </c>
      <c r="E400" s="5" t="s">
        <v>14</v>
      </c>
      <c r="F400" s="5" t="s">
        <v>29</v>
      </c>
    </row>
    <row r="401" spans="1:6" ht="15.75" customHeight="1" x14ac:dyDescent="0.3">
      <c r="A401" s="4">
        <v>400</v>
      </c>
      <c r="B401" s="5" t="s">
        <v>721</v>
      </c>
      <c r="C401" s="5" t="s">
        <v>722</v>
      </c>
      <c r="D401" s="6">
        <f>593932936043</f>
        <v>593932936043</v>
      </c>
      <c r="E401" s="5" t="s">
        <v>35</v>
      </c>
      <c r="F401" s="5" t="s">
        <v>15</v>
      </c>
    </row>
    <row r="402" spans="1:6" ht="15.75" customHeight="1" x14ac:dyDescent="0.3">
      <c r="A402" s="4">
        <v>401</v>
      </c>
      <c r="B402" s="5" t="s">
        <v>723</v>
      </c>
      <c r="C402" s="5" t="s">
        <v>724</v>
      </c>
      <c r="D402" s="6">
        <f>593919945862</f>
        <v>593919945862</v>
      </c>
      <c r="E402" s="5" t="s">
        <v>121</v>
      </c>
      <c r="F402" s="5" t="s">
        <v>15</v>
      </c>
    </row>
    <row r="403" spans="1:6" ht="15.75" customHeight="1" x14ac:dyDescent="0.3">
      <c r="A403" s="4">
        <v>402</v>
      </c>
      <c r="B403" s="5" t="s">
        <v>725</v>
      </c>
      <c r="C403" s="5" t="s">
        <v>726</v>
      </c>
      <c r="D403" s="6">
        <f>593936245729</f>
        <v>593936245729</v>
      </c>
      <c r="E403" s="5" t="s">
        <v>66</v>
      </c>
      <c r="F403" s="5" t="s">
        <v>29</v>
      </c>
    </row>
    <row r="404" spans="1:6" ht="15.75" customHeight="1" x14ac:dyDescent="0.3">
      <c r="A404" s="4">
        <v>403</v>
      </c>
      <c r="B404" s="5" t="s">
        <v>727</v>
      </c>
      <c r="C404" s="5" t="s">
        <v>728</v>
      </c>
      <c r="D404" s="6">
        <f>593950059385</f>
        <v>593950059385</v>
      </c>
      <c r="E404" s="5" t="s">
        <v>38</v>
      </c>
      <c r="F404" s="5" t="s">
        <v>23</v>
      </c>
    </row>
    <row r="405" spans="1:6" ht="15.75" customHeight="1" x14ac:dyDescent="0.3">
      <c r="A405" s="4">
        <v>404</v>
      </c>
      <c r="B405" s="5" t="s">
        <v>729</v>
      </c>
      <c r="C405" s="5" t="s">
        <v>730</v>
      </c>
      <c r="D405" s="6">
        <f>593912241705</f>
        <v>593912241705</v>
      </c>
      <c r="E405" s="5" t="s">
        <v>56</v>
      </c>
      <c r="F405" s="5" t="s">
        <v>10</v>
      </c>
    </row>
    <row r="406" spans="1:6" ht="15.75" customHeight="1" x14ac:dyDescent="0.3">
      <c r="A406" s="4">
        <v>405</v>
      </c>
      <c r="B406" s="5" t="s">
        <v>731</v>
      </c>
      <c r="C406" s="5" t="s">
        <v>732</v>
      </c>
      <c r="D406" s="6">
        <f>593918029375</f>
        <v>593918029375</v>
      </c>
      <c r="E406" s="5" t="s">
        <v>38</v>
      </c>
      <c r="F406" s="5" t="s">
        <v>10</v>
      </c>
    </row>
    <row r="407" spans="1:6" ht="15.75" customHeight="1" x14ac:dyDescent="0.3">
      <c r="A407" s="4">
        <v>406</v>
      </c>
      <c r="B407" s="5" t="s">
        <v>733</v>
      </c>
      <c r="C407" s="5" t="s">
        <v>203</v>
      </c>
      <c r="D407" s="6">
        <f>593922807515</f>
        <v>593922807515</v>
      </c>
      <c r="E407" s="5" t="s">
        <v>35</v>
      </c>
      <c r="F407" s="5" t="s">
        <v>29</v>
      </c>
    </row>
    <row r="408" spans="1:6" ht="15.75" customHeight="1" x14ac:dyDescent="0.3">
      <c r="A408" s="4">
        <v>407</v>
      </c>
      <c r="B408" s="5" t="s">
        <v>734</v>
      </c>
      <c r="C408" s="5" t="s">
        <v>735</v>
      </c>
      <c r="D408" s="6">
        <f>593977553484</f>
        <v>593977553484</v>
      </c>
      <c r="E408" s="5" t="s">
        <v>38</v>
      </c>
      <c r="F408" s="5" t="s">
        <v>15</v>
      </c>
    </row>
    <row r="409" spans="1:6" ht="15.75" customHeight="1" x14ac:dyDescent="0.3">
      <c r="A409" s="4">
        <v>408</v>
      </c>
      <c r="B409" s="5" t="s">
        <v>736</v>
      </c>
      <c r="C409" s="5" t="s">
        <v>737</v>
      </c>
      <c r="D409" s="6">
        <f>593933402641</f>
        <v>593933402641</v>
      </c>
      <c r="E409" s="5" t="s">
        <v>9</v>
      </c>
      <c r="F409" s="5" t="s">
        <v>29</v>
      </c>
    </row>
    <row r="410" spans="1:6" ht="15.75" customHeight="1" x14ac:dyDescent="0.3">
      <c r="A410" s="4">
        <v>409</v>
      </c>
      <c r="B410" s="5" t="s">
        <v>738</v>
      </c>
      <c r="C410" s="5" t="s">
        <v>739</v>
      </c>
      <c r="D410" s="6">
        <f>593958670446</f>
        <v>593958670446</v>
      </c>
      <c r="E410" s="5" t="s">
        <v>59</v>
      </c>
      <c r="F410" s="5" t="s">
        <v>15</v>
      </c>
    </row>
    <row r="411" spans="1:6" ht="15.75" customHeight="1" x14ac:dyDescent="0.3">
      <c r="A411" s="4">
        <v>410</v>
      </c>
      <c r="B411" s="5" t="s">
        <v>740</v>
      </c>
      <c r="C411" s="5" t="s">
        <v>499</v>
      </c>
      <c r="D411" s="6">
        <f>593924537751</f>
        <v>593924537751</v>
      </c>
      <c r="E411" s="5" t="s">
        <v>56</v>
      </c>
      <c r="F411" s="5" t="s">
        <v>10</v>
      </c>
    </row>
    <row r="412" spans="1:6" ht="15.75" customHeight="1" x14ac:dyDescent="0.3">
      <c r="A412" s="4">
        <v>411</v>
      </c>
      <c r="B412" s="5" t="s">
        <v>741</v>
      </c>
      <c r="C412" s="5" t="s">
        <v>742</v>
      </c>
      <c r="D412" s="6">
        <f>593976993833</f>
        <v>593976993833</v>
      </c>
      <c r="E412" s="5" t="s">
        <v>32</v>
      </c>
      <c r="F412" s="5" t="s">
        <v>29</v>
      </c>
    </row>
    <row r="413" spans="1:6" ht="15.75" customHeight="1" x14ac:dyDescent="0.3">
      <c r="A413" s="4">
        <v>412</v>
      </c>
      <c r="B413" s="5" t="s">
        <v>743</v>
      </c>
      <c r="C413" s="5" t="s">
        <v>744</v>
      </c>
      <c r="D413" s="6">
        <f>593998831061</f>
        <v>593998831061</v>
      </c>
      <c r="E413" s="5" t="s">
        <v>66</v>
      </c>
      <c r="F413" s="5" t="s">
        <v>23</v>
      </c>
    </row>
    <row r="414" spans="1:6" ht="15.75" customHeight="1" x14ac:dyDescent="0.3">
      <c r="A414" s="4">
        <v>413</v>
      </c>
      <c r="B414" s="5" t="s">
        <v>745</v>
      </c>
      <c r="C414" s="5" t="s">
        <v>746</v>
      </c>
      <c r="D414" s="6">
        <f>593981189754</f>
        <v>593981189754</v>
      </c>
      <c r="E414" s="5" t="s">
        <v>41</v>
      </c>
      <c r="F414" s="5" t="s">
        <v>15</v>
      </c>
    </row>
    <row r="415" spans="1:6" ht="15.75" customHeight="1" x14ac:dyDescent="0.3">
      <c r="A415" s="4">
        <v>414</v>
      </c>
      <c r="B415" s="5" t="s">
        <v>747</v>
      </c>
      <c r="C415" s="5" t="s">
        <v>748</v>
      </c>
      <c r="D415" s="6">
        <f>593944806960</f>
        <v>593944806960</v>
      </c>
      <c r="E415" s="5" t="s">
        <v>32</v>
      </c>
      <c r="F415" s="5" t="s">
        <v>23</v>
      </c>
    </row>
    <row r="416" spans="1:6" ht="15.75" customHeight="1" x14ac:dyDescent="0.3">
      <c r="A416" s="4">
        <v>415</v>
      </c>
      <c r="B416" s="5" t="s">
        <v>749</v>
      </c>
      <c r="C416" s="5" t="s">
        <v>750</v>
      </c>
      <c r="D416" s="6">
        <f>593954377101</f>
        <v>593954377101</v>
      </c>
      <c r="E416" s="5" t="s">
        <v>32</v>
      </c>
      <c r="F416" s="5" t="s">
        <v>15</v>
      </c>
    </row>
    <row r="417" spans="1:6" ht="15.75" customHeight="1" x14ac:dyDescent="0.3">
      <c r="A417" s="4">
        <v>416</v>
      </c>
      <c r="B417" s="5" t="s">
        <v>751</v>
      </c>
      <c r="C417" s="5" t="s">
        <v>752</v>
      </c>
      <c r="D417" s="6">
        <f>593981509414</f>
        <v>593981509414</v>
      </c>
      <c r="E417" s="5" t="s">
        <v>56</v>
      </c>
      <c r="F417" s="5" t="s">
        <v>23</v>
      </c>
    </row>
    <row r="418" spans="1:6" ht="15.75" customHeight="1" x14ac:dyDescent="0.3">
      <c r="A418" s="4">
        <v>417</v>
      </c>
      <c r="B418" s="5" t="s">
        <v>753</v>
      </c>
      <c r="C418" s="5" t="s">
        <v>393</v>
      </c>
      <c r="D418" s="6">
        <f>593982826823</f>
        <v>593982826823</v>
      </c>
      <c r="E418" s="5" t="s">
        <v>41</v>
      </c>
      <c r="F418" s="5" t="s">
        <v>15</v>
      </c>
    </row>
    <row r="419" spans="1:6" ht="15.75" customHeight="1" x14ac:dyDescent="0.3">
      <c r="A419" s="4">
        <v>418</v>
      </c>
      <c r="B419" s="5" t="s">
        <v>754</v>
      </c>
      <c r="C419" s="5" t="s">
        <v>755</v>
      </c>
      <c r="D419" s="6">
        <f>593954631613</f>
        <v>593954631613</v>
      </c>
      <c r="E419" s="5" t="s">
        <v>32</v>
      </c>
      <c r="F419" s="5" t="s">
        <v>15</v>
      </c>
    </row>
    <row r="420" spans="1:6" ht="15.75" customHeight="1" x14ac:dyDescent="0.3">
      <c r="A420" s="4">
        <v>419</v>
      </c>
      <c r="B420" s="5" t="s">
        <v>756</v>
      </c>
      <c r="C420" s="5" t="s">
        <v>757</v>
      </c>
      <c r="D420" s="6">
        <f>593970974572</f>
        <v>593970974572</v>
      </c>
      <c r="E420" s="5" t="s">
        <v>121</v>
      </c>
      <c r="F420" s="5" t="s">
        <v>15</v>
      </c>
    </row>
    <row r="421" spans="1:6" ht="15.75" customHeight="1" x14ac:dyDescent="0.3">
      <c r="A421" s="4">
        <v>420</v>
      </c>
      <c r="B421" s="5" t="s">
        <v>758</v>
      </c>
      <c r="C421" s="5" t="s">
        <v>759</v>
      </c>
      <c r="D421" s="6">
        <f>593966022154</f>
        <v>593966022154</v>
      </c>
      <c r="E421" s="5" t="s">
        <v>41</v>
      </c>
      <c r="F421" s="5" t="s">
        <v>23</v>
      </c>
    </row>
    <row r="422" spans="1:6" ht="15.75" customHeight="1" x14ac:dyDescent="0.3">
      <c r="A422" s="4">
        <v>421</v>
      </c>
      <c r="B422" s="5" t="s">
        <v>760</v>
      </c>
      <c r="C422" s="5" t="s">
        <v>333</v>
      </c>
      <c r="D422" s="6">
        <f>593948301086</f>
        <v>593948301086</v>
      </c>
      <c r="E422" s="5" t="s">
        <v>56</v>
      </c>
      <c r="F422" s="5" t="s">
        <v>15</v>
      </c>
    </row>
    <row r="423" spans="1:6" ht="15.75" customHeight="1" x14ac:dyDescent="0.3">
      <c r="A423" s="4">
        <v>422</v>
      </c>
      <c r="B423" s="5" t="s">
        <v>761</v>
      </c>
      <c r="C423" s="5" t="s">
        <v>762</v>
      </c>
      <c r="D423" s="6">
        <f>593977933456</f>
        <v>593977933456</v>
      </c>
      <c r="E423" s="5" t="s">
        <v>19</v>
      </c>
      <c r="F423" s="5" t="s">
        <v>29</v>
      </c>
    </row>
    <row r="424" spans="1:6" ht="15.75" customHeight="1" x14ac:dyDescent="0.3">
      <c r="A424" s="4">
        <v>423</v>
      </c>
      <c r="B424" s="5" t="s">
        <v>763</v>
      </c>
      <c r="C424" s="5" t="s">
        <v>312</v>
      </c>
      <c r="D424" s="6">
        <f>593928374436</f>
        <v>593928374436</v>
      </c>
      <c r="E424" s="5" t="s">
        <v>56</v>
      </c>
      <c r="F424" s="5" t="s">
        <v>23</v>
      </c>
    </row>
    <row r="425" spans="1:6" ht="15.75" customHeight="1" x14ac:dyDescent="0.3">
      <c r="A425" s="4">
        <v>424</v>
      </c>
      <c r="B425" s="5" t="s">
        <v>764</v>
      </c>
      <c r="C425" s="5" t="s">
        <v>765</v>
      </c>
      <c r="D425" s="6">
        <f>593980836322</f>
        <v>593980836322</v>
      </c>
      <c r="E425" s="5" t="s">
        <v>56</v>
      </c>
      <c r="F425" s="5" t="s">
        <v>15</v>
      </c>
    </row>
    <row r="426" spans="1:6" ht="15.75" customHeight="1" x14ac:dyDescent="0.3">
      <c r="A426" s="4">
        <v>425</v>
      </c>
      <c r="B426" s="5" t="s">
        <v>766</v>
      </c>
      <c r="C426" s="5" t="s">
        <v>767</v>
      </c>
      <c r="D426" s="6">
        <f>593910519427</f>
        <v>593910519427</v>
      </c>
      <c r="E426" s="5" t="s">
        <v>51</v>
      </c>
      <c r="F426" s="5" t="s">
        <v>15</v>
      </c>
    </row>
    <row r="427" spans="1:6" ht="15.75" customHeight="1" x14ac:dyDescent="0.3">
      <c r="A427" s="4">
        <v>426</v>
      </c>
      <c r="B427" s="5" t="s">
        <v>768</v>
      </c>
      <c r="C427" s="5" t="s">
        <v>499</v>
      </c>
      <c r="D427" s="6">
        <f>593937501733</f>
        <v>593937501733</v>
      </c>
      <c r="E427" s="5" t="s">
        <v>14</v>
      </c>
      <c r="F427" s="5" t="s">
        <v>10</v>
      </c>
    </row>
    <row r="428" spans="1:6" ht="15.75" customHeight="1" x14ac:dyDescent="0.3">
      <c r="A428" s="4">
        <v>427</v>
      </c>
      <c r="B428" s="5" t="s">
        <v>494</v>
      </c>
      <c r="C428" s="5" t="s">
        <v>769</v>
      </c>
      <c r="D428" s="6">
        <f>593957684935</f>
        <v>593957684935</v>
      </c>
      <c r="E428" s="5" t="s">
        <v>14</v>
      </c>
      <c r="F428" s="5" t="s">
        <v>23</v>
      </c>
    </row>
    <row r="429" spans="1:6" ht="15.75" customHeight="1" x14ac:dyDescent="0.3">
      <c r="A429" s="4">
        <v>428</v>
      </c>
      <c r="B429" s="5" t="s">
        <v>770</v>
      </c>
      <c r="C429" s="5" t="s">
        <v>368</v>
      </c>
      <c r="D429" s="6">
        <f>593994724024</f>
        <v>593994724024</v>
      </c>
      <c r="E429" s="5" t="s">
        <v>121</v>
      </c>
      <c r="F429" s="5" t="s">
        <v>29</v>
      </c>
    </row>
    <row r="430" spans="1:6" ht="15.75" customHeight="1" x14ac:dyDescent="0.3">
      <c r="A430" s="4">
        <v>429</v>
      </c>
      <c r="B430" s="5" t="s">
        <v>771</v>
      </c>
      <c r="C430" s="5" t="s">
        <v>772</v>
      </c>
      <c r="D430" s="6">
        <f>593950394040</f>
        <v>593950394040</v>
      </c>
      <c r="E430" s="5" t="s">
        <v>41</v>
      </c>
      <c r="F430" s="5" t="s">
        <v>23</v>
      </c>
    </row>
    <row r="431" spans="1:6" ht="15.75" customHeight="1" x14ac:dyDescent="0.3">
      <c r="A431" s="4">
        <v>430</v>
      </c>
      <c r="B431" s="5" t="s">
        <v>773</v>
      </c>
      <c r="C431" s="5" t="s">
        <v>502</v>
      </c>
      <c r="D431" s="6">
        <f>593944944691</f>
        <v>593944944691</v>
      </c>
      <c r="E431" s="5" t="s">
        <v>56</v>
      </c>
      <c r="F431" s="5" t="s">
        <v>29</v>
      </c>
    </row>
    <row r="432" spans="1:6" ht="15.75" customHeight="1" x14ac:dyDescent="0.3">
      <c r="A432" s="4">
        <v>431</v>
      </c>
      <c r="B432" s="5" t="s">
        <v>774</v>
      </c>
      <c r="C432" s="5" t="s">
        <v>775</v>
      </c>
      <c r="D432" s="6">
        <f>593920438447</f>
        <v>593920438447</v>
      </c>
      <c r="E432" s="5" t="s">
        <v>9</v>
      </c>
      <c r="F432" s="5" t="s">
        <v>10</v>
      </c>
    </row>
    <row r="433" spans="1:6" ht="15.75" customHeight="1" x14ac:dyDescent="0.3">
      <c r="A433" s="4">
        <v>432</v>
      </c>
      <c r="B433" s="5" t="s">
        <v>776</v>
      </c>
      <c r="C433" s="5" t="s">
        <v>777</v>
      </c>
      <c r="D433" s="6">
        <f>593968014093</f>
        <v>593968014093</v>
      </c>
      <c r="E433" s="5" t="s">
        <v>35</v>
      </c>
      <c r="F433" s="5" t="s">
        <v>15</v>
      </c>
    </row>
    <row r="434" spans="1:6" ht="15.75" customHeight="1" x14ac:dyDescent="0.3">
      <c r="A434" s="4">
        <v>433</v>
      </c>
      <c r="B434" s="5" t="s">
        <v>778</v>
      </c>
      <c r="C434" s="5" t="s">
        <v>779</v>
      </c>
      <c r="D434" s="6">
        <f>593933775410</f>
        <v>593933775410</v>
      </c>
      <c r="E434" s="5" t="s">
        <v>41</v>
      </c>
      <c r="F434" s="5" t="s">
        <v>15</v>
      </c>
    </row>
    <row r="435" spans="1:6" ht="15.75" customHeight="1" x14ac:dyDescent="0.3">
      <c r="A435" s="4">
        <v>434</v>
      </c>
      <c r="B435" s="5" t="s">
        <v>283</v>
      </c>
      <c r="C435" s="5" t="s">
        <v>320</v>
      </c>
      <c r="D435" s="6">
        <f>593978833275</f>
        <v>593978833275</v>
      </c>
      <c r="E435" s="5" t="s">
        <v>56</v>
      </c>
      <c r="F435" s="5" t="s">
        <v>10</v>
      </c>
    </row>
    <row r="436" spans="1:6" ht="15.75" customHeight="1" x14ac:dyDescent="0.3">
      <c r="A436" s="4">
        <v>435</v>
      </c>
      <c r="B436" s="5" t="s">
        <v>780</v>
      </c>
      <c r="C436" s="5" t="s">
        <v>781</v>
      </c>
      <c r="D436" s="6">
        <f>593921318333</f>
        <v>593921318333</v>
      </c>
      <c r="E436" s="5" t="s">
        <v>66</v>
      </c>
      <c r="F436" s="5" t="s">
        <v>15</v>
      </c>
    </row>
    <row r="437" spans="1:6" ht="15.75" customHeight="1" x14ac:dyDescent="0.3">
      <c r="A437" s="4">
        <v>436</v>
      </c>
      <c r="B437" s="5" t="s">
        <v>782</v>
      </c>
      <c r="C437" s="5" t="s">
        <v>783</v>
      </c>
      <c r="D437" s="6">
        <f>593944545672</f>
        <v>593944545672</v>
      </c>
      <c r="E437" s="5" t="s">
        <v>121</v>
      </c>
      <c r="F437" s="5" t="s">
        <v>10</v>
      </c>
    </row>
    <row r="438" spans="1:6" ht="15.75" customHeight="1" x14ac:dyDescent="0.3">
      <c r="A438" s="4">
        <v>437</v>
      </c>
      <c r="B438" s="5" t="s">
        <v>749</v>
      </c>
      <c r="C438" s="5" t="s">
        <v>314</v>
      </c>
      <c r="D438" s="6">
        <f>593963256573</f>
        <v>593963256573</v>
      </c>
      <c r="E438" s="5" t="s">
        <v>41</v>
      </c>
      <c r="F438" s="5" t="s">
        <v>23</v>
      </c>
    </row>
    <row r="439" spans="1:6" ht="15.75" customHeight="1" x14ac:dyDescent="0.3">
      <c r="A439" s="4">
        <v>438</v>
      </c>
      <c r="B439" s="5" t="s">
        <v>784</v>
      </c>
      <c r="C439" s="5" t="s">
        <v>350</v>
      </c>
      <c r="D439" s="6">
        <f>593990948088</f>
        <v>593990948088</v>
      </c>
      <c r="E439" s="5" t="s">
        <v>9</v>
      </c>
      <c r="F439" s="5" t="s">
        <v>15</v>
      </c>
    </row>
    <row r="440" spans="1:6" ht="15.75" customHeight="1" x14ac:dyDescent="0.3">
      <c r="A440" s="4">
        <v>439</v>
      </c>
      <c r="B440" s="5" t="s">
        <v>719</v>
      </c>
      <c r="C440" s="5" t="s">
        <v>428</v>
      </c>
      <c r="D440" s="6">
        <f>593937035871</f>
        <v>593937035871</v>
      </c>
      <c r="E440" s="5" t="s">
        <v>44</v>
      </c>
      <c r="F440" s="5" t="s">
        <v>29</v>
      </c>
    </row>
    <row r="441" spans="1:6" ht="15.75" customHeight="1" x14ac:dyDescent="0.3">
      <c r="A441" s="4">
        <v>440</v>
      </c>
      <c r="B441" s="5" t="s">
        <v>785</v>
      </c>
      <c r="C441" s="5" t="s">
        <v>786</v>
      </c>
      <c r="D441" s="6">
        <f>593979762179</f>
        <v>593979762179</v>
      </c>
      <c r="E441" s="5" t="s">
        <v>14</v>
      </c>
      <c r="F441" s="5" t="s">
        <v>10</v>
      </c>
    </row>
    <row r="442" spans="1:6" ht="15.75" customHeight="1" x14ac:dyDescent="0.3">
      <c r="A442" s="4">
        <v>441</v>
      </c>
      <c r="B442" s="5" t="s">
        <v>530</v>
      </c>
      <c r="C442" s="5" t="s">
        <v>638</v>
      </c>
      <c r="D442" s="6">
        <f>593946169022</f>
        <v>593946169022</v>
      </c>
      <c r="E442" s="5" t="s">
        <v>56</v>
      </c>
      <c r="F442" s="5" t="s">
        <v>10</v>
      </c>
    </row>
    <row r="443" spans="1:6" ht="15.75" customHeight="1" x14ac:dyDescent="0.3">
      <c r="A443" s="4">
        <v>442</v>
      </c>
      <c r="B443" s="5" t="s">
        <v>787</v>
      </c>
      <c r="C443" s="5" t="s">
        <v>285</v>
      </c>
      <c r="D443" s="6">
        <f>593960646226</f>
        <v>593960646226</v>
      </c>
      <c r="E443" s="5" t="s">
        <v>41</v>
      </c>
      <c r="F443" s="5" t="s">
        <v>23</v>
      </c>
    </row>
    <row r="444" spans="1:6" ht="15.75" customHeight="1" x14ac:dyDescent="0.3">
      <c r="A444" s="4">
        <v>443</v>
      </c>
      <c r="B444" s="5" t="s">
        <v>788</v>
      </c>
      <c r="C444" s="5" t="s">
        <v>789</v>
      </c>
      <c r="D444" s="6">
        <f>593983355900</f>
        <v>593983355900</v>
      </c>
      <c r="E444" s="5" t="s">
        <v>44</v>
      </c>
      <c r="F444" s="5" t="s">
        <v>29</v>
      </c>
    </row>
    <row r="445" spans="1:6" ht="15.75" customHeight="1" x14ac:dyDescent="0.3">
      <c r="A445" s="4">
        <v>444</v>
      </c>
      <c r="B445" s="5" t="s">
        <v>790</v>
      </c>
      <c r="C445" s="5" t="s">
        <v>791</v>
      </c>
      <c r="D445" s="6">
        <f>593955745935</f>
        <v>593955745935</v>
      </c>
      <c r="E445" s="5" t="s">
        <v>32</v>
      </c>
      <c r="F445" s="5" t="s">
        <v>29</v>
      </c>
    </row>
    <row r="446" spans="1:6" ht="15.75" customHeight="1" x14ac:dyDescent="0.3">
      <c r="A446" s="4">
        <v>445</v>
      </c>
      <c r="B446" s="5" t="s">
        <v>792</v>
      </c>
      <c r="C446" s="5" t="s">
        <v>793</v>
      </c>
      <c r="D446" s="6">
        <f>593980757601</f>
        <v>593980757601</v>
      </c>
      <c r="E446" s="5" t="s">
        <v>66</v>
      </c>
      <c r="F446" s="5" t="s">
        <v>15</v>
      </c>
    </row>
    <row r="447" spans="1:6" ht="15.75" customHeight="1" x14ac:dyDescent="0.3">
      <c r="A447" s="4">
        <v>446</v>
      </c>
      <c r="B447" s="5" t="s">
        <v>794</v>
      </c>
      <c r="C447" s="5" t="s">
        <v>567</v>
      </c>
      <c r="D447" s="6">
        <f>593985935893</f>
        <v>593985935893</v>
      </c>
      <c r="E447" s="5" t="s">
        <v>121</v>
      </c>
      <c r="F447" s="5" t="s">
        <v>10</v>
      </c>
    </row>
    <row r="448" spans="1:6" ht="15.75" customHeight="1" x14ac:dyDescent="0.3">
      <c r="A448" s="4">
        <v>447</v>
      </c>
      <c r="B448" s="5" t="s">
        <v>224</v>
      </c>
      <c r="C448" s="5" t="s">
        <v>333</v>
      </c>
      <c r="D448" s="6">
        <f>593957038495</f>
        <v>593957038495</v>
      </c>
      <c r="E448" s="5" t="s">
        <v>35</v>
      </c>
      <c r="F448" s="5" t="s">
        <v>23</v>
      </c>
    </row>
    <row r="449" spans="1:6" ht="15.75" customHeight="1" x14ac:dyDescent="0.3">
      <c r="A449" s="4">
        <v>448</v>
      </c>
      <c r="B449" s="5" t="s">
        <v>176</v>
      </c>
      <c r="C449" s="5" t="s">
        <v>195</v>
      </c>
      <c r="D449" s="6">
        <f>593992614152</f>
        <v>593992614152</v>
      </c>
      <c r="E449" s="5" t="s">
        <v>19</v>
      </c>
      <c r="F449" s="5" t="s">
        <v>29</v>
      </c>
    </row>
    <row r="450" spans="1:6" ht="15.75" customHeight="1" x14ac:dyDescent="0.3">
      <c r="A450" s="4">
        <v>449</v>
      </c>
      <c r="B450" s="5" t="s">
        <v>795</v>
      </c>
      <c r="C450" s="5" t="s">
        <v>796</v>
      </c>
      <c r="D450" s="6">
        <f>593994756630</f>
        <v>593994756630</v>
      </c>
      <c r="E450" s="5" t="s">
        <v>51</v>
      </c>
      <c r="F450" s="5" t="s">
        <v>23</v>
      </c>
    </row>
    <row r="451" spans="1:6" ht="15.75" customHeight="1" x14ac:dyDescent="0.3">
      <c r="A451" s="4">
        <v>450</v>
      </c>
      <c r="B451" s="5" t="s">
        <v>797</v>
      </c>
      <c r="C451" s="5" t="s">
        <v>798</v>
      </c>
      <c r="D451" s="6">
        <f>593919129793</f>
        <v>593919129793</v>
      </c>
      <c r="E451" s="5" t="s">
        <v>19</v>
      </c>
      <c r="F451" s="5" t="s">
        <v>15</v>
      </c>
    </row>
    <row r="452" spans="1:6" ht="15.75" customHeight="1" x14ac:dyDescent="0.3">
      <c r="A452" s="4">
        <v>451</v>
      </c>
      <c r="B452" s="5" t="s">
        <v>799</v>
      </c>
      <c r="C452" s="5" t="s">
        <v>619</v>
      </c>
      <c r="D452" s="6">
        <f>593945163617</f>
        <v>593945163617</v>
      </c>
      <c r="E452" s="5" t="s">
        <v>121</v>
      </c>
      <c r="F452" s="5" t="s">
        <v>15</v>
      </c>
    </row>
    <row r="453" spans="1:6" ht="15.75" customHeight="1" x14ac:dyDescent="0.3">
      <c r="A453" s="4">
        <v>452</v>
      </c>
      <c r="B453" s="5" t="s">
        <v>800</v>
      </c>
      <c r="C453" s="5" t="s">
        <v>535</v>
      </c>
      <c r="D453" s="6">
        <f>593934961634</f>
        <v>593934961634</v>
      </c>
      <c r="E453" s="5" t="s">
        <v>35</v>
      </c>
      <c r="F453" s="5" t="s">
        <v>15</v>
      </c>
    </row>
    <row r="454" spans="1:6" ht="15.75" customHeight="1" x14ac:dyDescent="0.3">
      <c r="A454" s="4">
        <v>453</v>
      </c>
      <c r="B454" s="5" t="s">
        <v>801</v>
      </c>
      <c r="C454" s="5" t="s">
        <v>802</v>
      </c>
      <c r="D454" s="6">
        <f>593949856923</f>
        <v>593949856923</v>
      </c>
      <c r="E454" s="5" t="s">
        <v>19</v>
      </c>
      <c r="F454" s="5" t="s">
        <v>29</v>
      </c>
    </row>
    <row r="455" spans="1:6" ht="15.75" customHeight="1" x14ac:dyDescent="0.3">
      <c r="A455" s="4">
        <v>454</v>
      </c>
      <c r="B455" s="5" t="s">
        <v>392</v>
      </c>
      <c r="C455" s="5" t="s">
        <v>803</v>
      </c>
      <c r="D455" s="6">
        <f>593973769917</f>
        <v>593973769917</v>
      </c>
      <c r="E455" s="5" t="s">
        <v>44</v>
      </c>
      <c r="F455" s="5" t="s">
        <v>15</v>
      </c>
    </row>
    <row r="456" spans="1:6" ht="15.75" customHeight="1" x14ac:dyDescent="0.3">
      <c r="A456" s="4">
        <v>455</v>
      </c>
      <c r="B456" s="5" t="s">
        <v>804</v>
      </c>
      <c r="C456" s="5" t="s">
        <v>456</v>
      </c>
      <c r="D456" s="6">
        <f>593933406944</f>
        <v>593933406944</v>
      </c>
      <c r="E456" s="5" t="s">
        <v>66</v>
      </c>
      <c r="F456" s="5" t="s">
        <v>23</v>
      </c>
    </row>
    <row r="457" spans="1:6" ht="15.75" customHeight="1" x14ac:dyDescent="0.3">
      <c r="A457" s="4">
        <v>456</v>
      </c>
      <c r="B457" s="5" t="s">
        <v>805</v>
      </c>
      <c r="C457" s="5" t="s">
        <v>806</v>
      </c>
      <c r="D457" s="6">
        <f>593913810609</f>
        <v>593913810609</v>
      </c>
      <c r="E457" s="5" t="s">
        <v>59</v>
      </c>
      <c r="F457" s="5" t="s">
        <v>10</v>
      </c>
    </row>
    <row r="458" spans="1:6" ht="15.75" customHeight="1" x14ac:dyDescent="0.3">
      <c r="A458" s="4">
        <v>457</v>
      </c>
      <c r="B458" s="5" t="s">
        <v>807</v>
      </c>
      <c r="C458" s="5" t="s">
        <v>258</v>
      </c>
      <c r="D458" s="6">
        <f>593914305590</f>
        <v>593914305590</v>
      </c>
      <c r="E458" s="5" t="s">
        <v>19</v>
      </c>
      <c r="F458" s="5" t="s">
        <v>23</v>
      </c>
    </row>
    <row r="459" spans="1:6" ht="15.75" customHeight="1" x14ac:dyDescent="0.3">
      <c r="A459" s="4">
        <v>458</v>
      </c>
      <c r="B459" s="5" t="s">
        <v>808</v>
      </c>
      <c r="C459" s="5" t="s">
        <v>809</v>
      </c>
      <c r="D459" s="6">
        <f>593932550064</f>
        <v>593932550064</v>
      </c>
      <c r="E459" s="5" t="s">
        <v>32</v>
      </c>
      <c r="F459" s="5" t="s">
        <v>10</v>
      </c>
    </row>
    <row r="460" spans="1:6" ht="15.75" customHeight="1" x14ac:dyDescent="0.3">
      <c r="A460" s="4">
        <v>459</v>
      </c>
      <c r="B460" s="5" t="s">
        <v>810</v>
      </c>
      <c r="C460" s="5" t="s">
        <v>748</v>
      </c>
      <c r="D460" s="6">
        <f>593953632709</f>
        <v>593953632709</v>
      </c>
      <c r="E460" s="5" t="s">
        <v>59</v>
      </c>
      <c r="F460" s="5" t="s">
        <v>29</v>
      </c>
    </row>
    <row r="461" spans="1:6" ht="15.75" customHeight="1" x14ac:dyDescent="0.3">
      <c r="A461" s="4">
        <v>460</v>
      </c>
      <c r="B461" s="5" t="s">
        <v>811</v>
      </c>
      <c r="C461" s="5" t="s">
        <v>812</v>
      </c>
      <c r="D461" s="6">
        <f>593933493271</f>
        <v>593933493271</v>
      </c>
      <c r="E461" s="5" t="s">
        <v>35</v>
      </c>
      <c r="F461" s="5" t="s">
        <v>10</v>
      </c>
    </row>
    <row r="462" spans="1:6" ht="15.75" customHeight="1" x14ac:dyDescent="0.3">
      <c r="A462" s="4">
        <v>461</v>
      </c>
      <c r="B462" s="5" t="s">
        <v>813</v>
      </c>
      <c r="C462" s="5" t="s">
        <v>814</v>
      </c>
      <c r="D462" s="6">
        <f>593936121778</f>
        <v>593936121778</v>
      </c>
      <c r="E462" s="5" t="s">
        <v>66</v>
      </c>
      <c r="F462" s="5" t="s">
        <v>15</v>
      </c>
    </row>
    <row r="463" spans="1:6" ht="15.75" customHeight="1" x14ac:dyDescent="0.3">
      <c r="A463" s="4">
        <v>462</v>
      </c>
      <c r="B463" s="5" t="s">
        <v>815</v>
      </c>
      <c r="C463" s="5" t="s">
        <v>816</v>
      </c>
      <c r="D463" s="6">
        <f>593946876166</f>
        <v>593946876166</v>
      </c>
      <c r="E463" s="5" t="s">
        <v>56</v>
      </c>
      <c r="F463" s="5" t="s">
        <v>29</v>
      </c>
    </row>
    <row r="464" spans="1:6" ht="15.75" customHeight="1" x14ac:dyDescent="0.3">
      <c r="A464" s="4">
        <v>463</v>
      </c>
      <c r="B464" s="5" t="s">
        <v>771</v>
      </c>
      <c r="C464" s="5" t="s">
        <v>817</v>
      </c>
      <c r="D464" s="6">
        <f>593968785970</f>
        <v>593968785970</v>
      </c>
      <c r="E464" s="5" t="s">
        <v>19</v>
      </c>
      <c r="F464" s="5" t="s">
        <v>23</v>
      </c>
    </row>
    <row r="465" spans="1:6" ht="15.75" customHeight="1" x14ac:dyDescent="0.3">
      <c r="A465" s="4">
        <v>464</v>
      </c>
      <c r="B465" s="5" t="s">
        <v>818</v>
      </c>
      <c r="C465" s="5" t="s">
        <v>393</v>
      </c>
      <c r="D465" s="6">
        <f>593914707812</f>
        <v>593914707812</v>
      </c>
      <c r="E465" s="5" t="s">
        <v>44</v>
      </c>
      <c r="F465" s="5" t="s">
        <v>29</v>
      </c>
    </row>
    <row r="466" spans="1:6" ht="15.75" customHeight="1" x14ac:dyDescent="0.3">
      <c r="A466" s="4">
        <v>465</v>
      </c>
      <c r="B466" s="5" t="s">
        <v>819</v>
      </c>
      <c r="C466" s="5" t="s">
        <v>820</v>
      </c>
      <c r="D466" s="6">
        <f>593980918978</f>
        <v>593980918978</v>
      </c>
      <c r="E466" s="5" t="s">
        <v>41</v>
      </c>
      <c r="F466" s="5" t="s">
        <v>15</v>
      </c>
    </row>
    <row r="467" spans="1:6" ht="15.75" customHeight="1" x14ac:dyDescent="0.3">
      <c r="A467" s="4">
        <v>466</v>
      </c>
      <c r="B467" s="5" t="s">
        <v>821</v>
      </c>
      <c r="C467" s="5" t="s">
        <v>822</v>
      </c>
      <c r="D467" s="6">
        <f>593922378604</f>
        <v>593922378604</v>
      </c>
      <c r="E467" s="5" t="s">
        <v>19</v>
      </c>
      <c r="F467" s="5" t="s">
        <v>15</v>
      </c>
    </row>
    <row r="468" spans="1:6" ht="15.75" customHeight="1" x14ac:dyDescent="0.3">
      <c r="A468" s="4">
        <v>467</v>
      </c>
      <c r="B468" s="5" t="s">
        <v>275</v>
      </c>
      <c r="C468" s="5" t="s">
        <v>823</v>
      </c>
      <c r="D468" s="6">
        <f>593988565149</f>
        <v>593988565149</v>
      </c>
      <c r="E468" s="5" t="s">
        <v>38</v>
      </c>
      <c r="F468" s="5" t="s">
        <v>23</v>
      </c>
    </row>
    <row r="469" spans="1:6" ht="15.75" customHeight="1" x14ac:dyDescent="0.3">
      <c r="A469" s="4">
        <v>468</v>
      </c>
      <c r="B469" s="5" t="s">
        <v>824</v>
      </c>
      <c r="C469" s="5" t="s">
        <v>825</v>
      </c>
      <c r="D469" s="6">
        <f>593972742976</f>
        <v>593972742976</v>
      </c>
      <c r="E469" s="5" t="s">
        <v>9</v>
      </c>
      <c r="F469" s="5" t="s">
        <v>15</v>
      </c>
    </row>
    <row r="470" spans="1:6" ht="15.75" customHeight="1" x14ac:dyDescent="0.3">
      <c r="A470" s="4">
        <v>469</v>
      </c>
      <c r="B470" s="5" t="s">
        <v>826</v>
      </c>
      <c r="C470" s="5" t="s">
        <v>404</v>
      </c>
      <c r="D470" s="6">
        <f>593934154437</f>
        <v>593934154437</v>
      </c>
      <c r="E470" s="5" t="s">
        <v>44</v>
      </c>
      <c r="F470" s="5" t="s">
        <v>23</v>
      </c>
    </row>
    <row r="471" spans="1:6" ht="15.75" customHeight="1" x14ac:dyDescent="0.3">
      <c r="A471" s="4">
        <v>470</v>
      </c>
      <c r="B471" s="5" t="s">
        <v>827</v>
      </c>
      <c r="C471" s="5" t="s">
        <v>828</v>
      </c>
      <c r="D471" s="6">
        <f>593982140794</f>
        <v>593982140794</v>
      </c>
      <c r="E471" s="5" t="s">
        <v>9</v>
      </c>
      <c r="F471" s="5" t="s">
        <v>29</v>
      </c>
    </row>
    <row r="472" spans="1:6" ht="15.75" customHeight="1" x14ac:dyDescent="0.3">
      <c r="A472" s="4">
        <v>471</v>
      </c>
      <c r="B472" s="5" t="s">
        <v>829</v>
      </c>
      <c r="C472" s="5" t="s">
        <v>830</v>
      </c>
      <c r="D472" s="6">
        <f>593949454929</f>
        <v>593949454929</v>
      </c>
      <c r="E472" s="5" t="s">
        <v>19</v>
      </c>
      <c r="F472" s="5" t="s">
        <v>15</v>
      </c>
    </row>
    <row r="473" spans="1:6" ht="15.75" customHeight="1" x14ac:dyDescent="0.3">
      <c r="A473" s="4">
        <v>472</v>
      </c>
      <c r="B473" s="5" t="s">
        <v>831</v>
      </c>
      <c r="C473" s="5" t="s">
        <v>832</v>
      </c>
      <c r="D473" s="6">
        <f>593979397037</f>
        <v>593979397037</v>
      </c>
      <c r="E473" s="5" t="s">
        <v>66</v>
      </c>
      <c r="F473" s="5" t="s">
        <v>15</v>
      </c>
    </row>
    <row r="474" spans="1:6" ht="15.75" customHeight="1" x14ac:dyDescent="0.3">
      <c r="A474" s="4">
        <v>473</v>
      </c>
      <c r="B474" s="5" t="s">
        <v>833</v>
      </c>
      <c r="C474" s="5" t="s">
        <v>834</v>
      </c>
      <c r="D474" s="6">
        <f>593943847226</f>
        <v>593943847226</v>
      </c>
      <c r="E474" s="5" t="s">
        <v>44</v>
      </c>
      <c r="F474" s="5" t="s">
        <v>15</v>
      </c>
    </row>
    <row r="475" spans="1:6" ht="15.75" customHeight="1" x14ac:dyDescent="0.3">
      <c r="A475" s="4">
        <v>474</v>
      </c>
      <c r="B475" s="5" t="s">
        <v>441</v>
      </c>
      <c r="C475" s="5" t="s">
        <v>835</v>
      </c>
      <c r="D475" s="6">
        <f>593939593366</f>
        <v>593939593366</v>
      </c>
      <c r="E475" s="5" t="s">
        <v>41</v>
      </c>
      <c r="F475" s="5" t="s">
        <v>10</v>
      </c>
    </row>
    <row r="476" spans="1:6" ht="15.75" customHeight="1" x14ac:dyDescent="0.3">
      <c r="A476" s="4">
        <v>475</v>
      </c>
      <c r="B476" s="5" t="s">
        <v>836</v>
      </c>
      <c r="C476" s="5" t="s">
        <v>837</v>
      </c>
      <c r="D476" s="6">
        <f>593942055452</f>
        <v>593942055452</v>
      </c>
      <c r="E476" s="5" t="s">
        <v>56</v>
      </c>
      <c r="F476" s="5" t="s">
        <v>23</v>
      </c>
    </row>
    <row r="477" spans="1:6" ht="15.75" customHeight="1" x14ac:dyDescent="0.3">
      <c r="A477" s="4">
        <v>476</v>
      </c>
      <c r="B477" s="5" t="s">
        <v>838</v>
      </c>
      <c r="C477" s="5" t="s">
        <v>597</v>
      </c>
      <c r="D477" s="6">
        <f>593964574765</f>
        <v>593964574765</v>
      </c>
      <c r="E477" s="5" t="s">
        <v>32</v>
      </c>
      <c r="F477" s="5" t="s">
        <v>29</v>
      </c>
    </row>
    <row r="478" spans="1:6" ht="15.75" customHeight="1" x14ac:dyDescent="0.3">
      <c r="A478" s="4">
        <v>477</v>
      </c>
      <c r="B478" s="5" t="s">
        <v>839</v>
      </c>
      <c r="C478" s="5" t="s">
        <v>549</v>
      </c>
      <c r="D478" s="6">
        <f>593936545100</f>
        <v>593936545100</v>
      </c>
      <c r="E478" s="5" t="s">
        <v>35</v>
      </c>
      <c r="F478" s="5" t="s">
        <v>10</v>
      </c>
    </row>
    <row r="479" spans="1:6" ht="15.75" customHeight="1" x14ac:dyDescent="0.3">
      <c r="A479" s="4">
        <v>478</v>
      </c>
      <c r="B479" s="5" t="s">
        <v>206</v>
      </c>
      <c r="C479" s="5" t="s">
        <v>840</v>
      </c>
      <c r="D479" s="6">
        <f>593989444388</f>
        <v>593989444388</v>
      </c>
      <c r="E479" s="5" t="s">
        <v>56</v>
      </c>
      <c r="F479" s="5" t="s">
        <v>15</v>
      </c>
    </row>
    <row r="480" spans="1:6" ht="15.75" customHeight="1" x14ac:dyDescent="0.3">
      <c r="A480" s="4">
        <v>479</v>
      </c>
      <c r="B480" s="5" t="s">
        <v>841</v>
      </c>
      <c r="C480" s="5" t="s">
        <v>159</v>
      </c>
      <c r="D480" s="6">
        <f>593931537335</f>
        <v>593931537335</v>
      </c>
      <c r="E480" s="5" t="s">
        <v>51</v>
      </c>
      <c r="F480" s="5" t="s">
        <v>29</v>
      </c>
    </row>
    <row r="481" spans="1:6" ht="15.75" customHeight="1" x14ac:dyDescent="0.3">
      <c r="A481" s="4">
        <v>480</v>
      </c>
      <c r="B481" s="5" t="s">
        <v>842</v>
      </c>
      <c r="C481" s="5" t="s">
        <v>843</v>
      </c>
      <c r="D481" s="6">
        <f>593920723695</f>
        <v>593920723695</v>
      </c>
      <c r="E481" s="5" t="s">
        <v>9</v>
      </c>
      <c r="F481" s="5" t="s">
        <v>10</v>
      </c>
    </row>
    <row r="482" spans="1:6" ht="15.75" customHeight="1" x14ac:dyDescent="0.3">
      <c r="A482" s="4">
        <v>481</v>
      </c>
      <c r="B482" s="5" t="s">
        <v>844</v>
      </c>
      <c r="C482" s="5" t="s">
        <v>845</v>
      </c>
      <c r="D482" s="6">
        <f>593987508430</f>
        <v>593987508430</v>
      </c>
      <c r="E482" s="5" t="s">
        <v>9</v>
      </c>
      <c r="F482" s="5" t="s">
        <v>15</v>
      </c>
    </row>
    <row r="483" spans="1:6" ht="15.75" customHeight="1" x14ac:dyDescent="0.3">
      <c r="A483" s="4">
        <v>482</v>
      </c>
      <c r="B483" s="5" t="s">
        <v>846</v>
      </c>
      <c r="C483" s="5" t="s">
        <v>693</v>
      </c>
      <c r="D483" s="6">
        <f>593986419571</f>
        <v>593986419571</v>
      </c>
      <c r="E483" s="5" t="s">
        <v>66</v>
      </c>
      <c r="F483" s="5" t="s">
        <v>29</v>
      </c>
    </row>
    <row r="484" spans="1:6" ht="15.75" customHeight="1" x14ac:dyDescent="0.3">
      <c r="A484" s="4">
        <v>483</v>
      </c>
      <c r="B484" s="5" t="s">
        <v>847</v>
      </c>
      <c r="C484" s="5" t="s">
        <v>848</v>
      </c>
      <c r="D484" s="6">
        <f>593914202176</f>
        <v>593914202176</v>
      </c>
      <c r="E484" s="5" t="s">
        <v>41</v>
      </c>
      <c r="F484" s="5" t="s">
        <v>15</v>
      </c>
    </row>
    <row r="485" spans="1:6" ht="15.75" customHeight="1" x14ac:dyDescent="0.3">
      <c r="A485" s="4">
        <v>484</v>
      </c>
      <c r="B485" s="5" t="s">
        <v>849</v>
      </c>
      <c r="C485" s="5" t="s">
        <v>850</v>
      </c>
      <c r="D485" s="6">
        <f>593993981992</f>
        <v>593993981992</v>
      </c>
      <c r="E485" s="5" t="s">
        <v>41</v>
      </c>
      <c r="F485" s="5" t="s">
        <v>29</v>
      </c>
    </row>
    <row r="486" spans="1:6" ht="15.75" customHeight="1" x14ac:dyDescent="0.3">
      <c r="A486" s="4">
        <v>485</v>
      </c>
      <c r="B486" s="5" t="s">
        <v>851</v>
      </c>
      <c r="C486" s="5" t="s">
        <v>852</v>
      </c>
      <c r="D486" s="6">
        <f>593999678320</f>
        <v>593999678320</v>
      </c>
      <c r="E486" s="5" t="s">
        <v>59</v>
      </c>
      <c r="F486" s="5" t="s">
        <v>29</v>
      </c>
    </row>
    <row r="487" spans="1:6" ht="15.75" customHeight="1" x14ac:dyDescent="0.3">
      <c r="A487" s="4">
        <v>486</v>
      </c>
      <c r="B487" s="5" t="s">
        <v>275</v>
      </c>
      <c r="C487" s="5" t="s">
        <v>853</v>
      </c>
      <c r="D487" s="6">
        <f>593926687438</f>
        <v>593926687438</v>
      </c>
      <c r="E487" s="5" t="s">
        <v>9</v>
      </c>
      <c r="F487" s="5" t="s">
        <v>23</v>
      </c>
    </row>
    <row r="488" spans="1:6" ht="15.75" customHeight="1" x14ac:dyDescent="0.3">
      <c r="A488" s="4">
        <v>487</v>
      </c>
      <c r="B488" s="5" t="s">
        <v>854</v>
      </c>
      <c r="C488" s="5" t="s">
        <v>855</v>
      </c>
      <c r="D488" s="6">
        <f>593957778177</f>
        <v>593957778177</v>
      </c>
      <c r="E488" s="5" t="s">
        <v>35</v>
      </c>
      <c r="F488" s="5" t="s">
        <v>15</v>
      </c>
    </row>
    <row r="489" spans="1:6" ht="15.75" customHeight="1" x14ac:dyDescent="0.3">
      <c r="A489" s="4">
        <v>488</v>
      </c>
      <c r="B489" s="5" t="s">
        <v>468</v>
      </c>
      <c r="C489" s="5" t="s">
        <v>229</v>
      </c>
      <c r="D489" s="6">
        <f>593955936843</f>
        <v>593955936843</v>
      </c>
      <c r="E489" s="5" t="s">
        <v>14</v>
      </c>
      <c r="F489" s="5" t="s">
        <v>10</v>
      </c>
    </row>
    <row r="490" spans="1:6" ht="15.75" customHeight="1" x14ac:dyDescent="0.3">
      <c r="A490" s="4">
        <v>489</v>
      </c>
      <c r="B490" s="5" t="s">
        <v>856</v>
      </c>
      <c r="C490" s="5" t="s">
        <v>798</v>
      </c>
      <c r="D490" s="6">
        <f>593928162655</f>
        <v>593928162655</v>
      </c>
      <c r="E490" s="5" t="s">
        <v>66</v>
      </c>
      <c r="F490" s="5" t="s">
        <v>23</v>
      </c>
    </row>
    <row r="491" spans="1:6" ht="15.75" customHeight="1" x14ac:dyDescent="0.3">
      <c r="A491" s="4">
        <v>490</v>
      </c>
      <c r="B491" s="5" t="s">
        <v>857</v>
      </c>
      <c r="C491" s="5" t="s">
        <v>858</v>
      </c>
      <c r="D491" s="6">
        <f>593956594900</f>
        <v>593956594900</v>
      </c>
      <c r="E491" s="5" t="s">
        <v>44</v>
      </c>
      <c r="F491" s="5" t="s">
        <v>15</v>
      </c>
    </row>
    <row r="492" spans="1:6" ht="15.75" customHeight="1" x14ac:dyDescent="0.3">
      <c r="A492" s="4">
        <v>491</v>
      </c>
      <c r="B492" s="5" t="s">
        <v>859</v>
      </c>
      <c r="C492" s="5" t="s">
        <v>422</v>
      </c>
      <c r="D492" s="6">
        <f>593969215716</f>
        <v>593969215716</v>
      </c>
      <c r="E492" s="5" t="s">
        <v>121</v>
      </c>
      <c r="F492" s="5" t="s">
        <v>10</v>
      </c>
    </row>
    <row r="493" spans="1:6" ht="15.75" customHeight="1" x14ac:dyDescent="0.3">
      <c r="A493" s="4">
        <v>492</v>
      </c>
      <c r="B493" s="5" t="s">
        <v>345</v>
      </c>
      <c r="C493" s="5" t="s">
        <v>402</v>
      </c>
      <c r="D493" s="6">
        <f>593928462435</f>
        <v>593928462435</v>
      </c>
      <c r="E493" s="5" t="s">
        <v>32</v>
      </c>
      <c r="F493" s="5" t="s">
        <v>15</v>
      </c>
    </row>
    <row r="494" spans="1:6" ht="15.75" customHeight="1" x14ac:dyDescent="0.3">
      <c r="A494" s="4">
        <v>493</v>
      </c>
      <c r="B494" s="5" t="s">
        <v>860</v>
      </c>
      <c r="C494" s="5" t="s">
        <v>861</v>
      </c>
      <c r="D494" s="6">
        <f>593956349204</f>
        <v>593956349204</v>
      </c>
      <c r="E494" s="5" t="s">
        <v>121</v>
      </c>
      <c r="F494" s="5" t="s">
        <v>29</v>
      </c>
    </row>
    <row r="495" spans="1:6" ht="15.75" customHeight="1" x14ac:dyDescent="0.3">
      <c r="A495" s="4">
        <v>494</v>
      </c>
      <c r="B495" s="5" t="s">
        <v>862</v>
      </c>
      <c r="C495" s="5" t="s">
        <v>863</v>
      </c>
      <c r="D495" s="6">
        <f>593935485977</f>
        <v>593935485977</v>
      </c>
      <c r="E495" s="5" t="s">
        <v>9</v>
      </c>
      <c r="F495" s="5" t="s">
        <v>10</v>
      </c>
    </row>
    <row r="496" spans="1:6" ht="15.75" customHeight="1" x14ac:dyDescent="0.3">
      <c r="A496" s="4">
        <v>495</v>
      </c>
      <c r="B496" s="5" t="s">
        <v>630</v>
      </c>
      <c r="C496" s="5" t="s">
        <v>864</v>
      </c>
      <c r="D496" s="6">
        <f>593924404327</f>
        <v>593924404327</v>
      </c>
      <c r="E496" s="5" t="s">
        <v>66</v>
      </c>
      <c r="F496" s="5" t="s">
        <v>23</v>
      </c>
    </row>
    <row r="497" spans="1:6" ht="15.75" customHeight="1" x14ac:dyDescent="0.3">
      <c r="A497" s="4">
        <v>496</v>
      </c>
      <c r="B497" s="5" t="s">
        <v>865</v>
      </c>
      <c r="C497" s="5" t="s">
        <v>866</v>
      </c>
      <c r="D497" s="6">
        <f>593978492369</f>
        <v>593978492369</v>
      </c>
      <c r="E497" s="5" t="s">
        <v>19</v>
      </c>
      <c r="F497" s="5" t="s">
        <v>29</v>
      </c>
    </row>
    <row r="498" spans="1:6" ht="15.75" customHeight="1" x14ac:dyDescent="0.3">
      <c r="A498" s="4">
        <v>497</v>
      </c>
      <c r="B498" s="5" t="s">
        <v>867</v>
      </c>
      <c r="C498" s="5" t="s">
        <v>297</v>
      </c>
      <c r="D498" s="6">
        <f>593963021754</f>
        <v>593963021754</v>
      </c>
      <c r="E498" s="5" t="s">
        <v>59</v>
      </c>
      <c r="F498" s="5" t="s">
        <v>29</v>
      </c>
    </row>
    <row r="499" spans="1:6" ht="15.75" customHeight="1" x14ac:dyDescent="0.3">
      <c r="A499" s="4">
        <v>498</v>
      </c>
      <c r="B499" s="5" t="s">
        <v>644</v>
      </c>
      <c r="C499" s="5" t="s">
        <v>515</v>
      </c>
      <c r="D499" s="6">
        <f>593955943142</f>
        <v>593955943142</v>
      </c>
      <c r="E499" s="5" t="s">
        <v>38</v>
      </c>
      <c r="F499" s="5" t="s">
        <v>23</v>
      </c>
    </row>
    <row r="500" spans="1:6" ht="15.75" customHeight="1" x14ac:dyDescent="0.3">
      <c r="A500" s="4">
        <v>499</v>
      </c>
      <c r="B500" s="5" t="s">
        <v>868</v>
      </c>
      <c r="C500" s="5" t="s">
        <v>869</v>
      </c>
      <c r="D500" s="6">
        <f>593951293227</f>
        <v>593951293227</v>
      </c>
      <c r="E500" s="5" t="s">
        <v>38</v>
      </c>
      <c r="F500" s="5" t="s">
        <v>29</v>
      </c>
    </row>
    <row r="501" spans="1:6" ht="15.75" customHeight="1" x14ac:dyDescent="0.3">
      <c r="A501" s="4">
        <v>500</v>
      </c>
      <c r="B501" s="5" t="s">
        <v>870</v>
      </c>
      <c r="C501" s="5" t="s">
        <v>871</v>
      </c>
      <c r="D501" s="6">
        <f>593987641677</f>
        <v>593987641677</v>
      </c>
      <c r="E501" s="5" t="s">
        <v>35</v>
      </c>
      <c r="F501" s="5" t="s">
        <v>29</v>
      </c>
    </row>
    <row r="502" spans="1:6" ht="15.75" customHeight="1" x14ac:dyDescent="0.3">
      <c r="D502" s="2"/>
    </row>
    <row r="503" spans="1:6" ht="15.75" customHeight="1" x14ac:dyDescent="0.3">
      <c r="D503" s="2"/>
    </row>
    <row r="504" spans="1:6" ht="15.75" customHeight="1" x14ac:dyDescent="0.3">
      <c r="D504" s="2"/>
    </row>
    <row r="505" spans="1:6" ht="15.75" customHeight="1" x14ac:dyDescent="0.3">
      <c r="D505" s="2"/>
    </row>
    <row r="506" spans="1:6" ht="15.75" customHeight="1" x14ac:dyDescent="0.3">
      <c r="D506" s="2"/>
    </row>
    <row r="507" spans="1:6" ht="15.75" customHeight="1" x14ac:dyDescent="0.3">
      <c r="D507" s="2"/>
    </row>
    <row r="508" spans="1:6" ht="15.75" customHeight="1" x14ac:dyDescent="0.3">
      <c r="D508" s="2"/>
    </row>
    <row r="509" spans="1:6" ht="15.75" customHeight="1" x14ac:dyDescent="0.3">
      <c r="D509" s="2"/>
    </row>
    <row r="510" spans="1:6" ht="15.75" customHeight="1" x14ac:dyDescent="0.3">
      <c r="D510" s="2"/>
    </row>
    <row r="511" spans="1:6" ht="15.75" customHeight="1" x14ac:dyDescent="0.3">
      <c r="D511" s="2"/>
    </row>
    <row r="512" spans="1:6" ht="15.75" customHeight="1" x14ac:dyDescent="0.3">
      <c r="D512" s="2"/>
    </row>
    <row r="513" spans="4:4" ht="15.75" customHeight="1" x14ac:dyDescent="0.3">
      <c r="D513" s="2"/>
    </row>
    <row r="514" spans="4:4" ht="15.75" customHeight="1" x14ac:dyDescent="0.3">
      <c r="D514" s="2"/>
    </row>
    <row r="515" spans="4:4" ht="15.75" customHeight="1" x14ac:dyDescent="0.3">
      <c r="D515" s="2"/>
    </row>
    <row r="516" spans="4:4" ht="15.75" customHeight="1" x14ac:dyDescent="0.3">
      <c r="D516" s="2"/>
    </row>
    <row r="517" spans="4:4" ht="15.75" customHeight="1" x14ac:dyDescent="0.3">
      <c r="D517" s="2"/>
    </row>
    <row r="518" spans="4:4" ht="15.75" customHeight="1" x14ac:dyDescent="0.3">
      <c r="D518" s="2"/>
    </row>
    <row r="519" spans="4:4" ht="15.75" customHeight="1" x14ac:dyDescent="0.3">
      <c r="D519" s="2"/>
    </row>
    <row r="520" spans="4:4" ht="15.75" customHeight="1" x14ac:dyDescent="0.3">
      <c r="D520" s="2"/>
    </row>
    <row r="521" spans="4:4" ht="15.75" customHeight="1" x14ac:dyDescent="0.3">
      <c r="D521" s="2"/>
    </row>
    <row r="522" spans="4:4" ht="15.75" customHeight="1" x14ac:dyDescent="0.3">
      <c r="D522" s="2"/>
    </row>
    <row r="523" spans="4:4" ht="15.75" customHeight="1" x14ac:dyDescent="0.3">
      <c r="D523" s="2"/>
    </row>
    <row r="524" spans="4:4" ht="15.75" customHeight="1" x14ac:dyDescent="0.3">
      <c r="D524" s="2"/>
    </row>
    <row r="525" spans="4:4" ht="15.75" customHeight="1" x14ac:dyDescent="0.3">
      <c r="D525" s="2"/>
    </row>
    <row r="526" spans="4:4" ht="15.75" customHeight="1" x14ac:dyDescent="0.3">
      <c r="D526" s="2"/>
    </row>
    <row r="527" spans="4:4" ht="15.75" customHeight="1" x14ac:dyDescent="0.3">
      <c r="D527" s="2"/>
    </row>
    <row r="528" spans="4:4" ht="15.75" customHeight="1" x14ac:dyDescent="0.3">
      <c r="D528" s="2"/>
    </row>
    <row r="529" spans="4:4" ht="15.75" customHeight="1" x14ac:dyDescent="0.3">
      <c r="D529" s="2"/>
    </row>
    <row r="530" spans="4:4" ht="15.75" customHeight="1" x14ac:dyDescent="0.3">
      <c r="D530" s="2"/>
    </row>
    <row r="531" spans="4:4" ht="15.75" customHeight="1" x14ac:dyDescent="0.3">
      <c r="D531" s="2"/>
    </row>
    <row r="532" spans="4:4" ht="15.75" customHeight="1" x14ac:dyDescent="0.3">
      <c r="D532" s="2"/>
    </row>
    <row r="533" spans="4:4" ht="15.75" customHeight="1" x14ac:dyDescent="0.3">
      <c r="D533" s="2"/>
    </row>
    <row r="534" spans="4:4" ht="15.75" customHeight="1" x14ac:dyDescent="0.3">
      <c r="D534" s="2"/>
    </row>
    <row r="535" spans="4:4" ht="15.75" customHeight="1" x14ac:dyDescent="0.3">
      <c r="D535" s="2"/>
    </row>
    <row r="536" spans="4:4" ht="15.75" customHeight="1" x14ac:dyDescent="0.3">
      <c r="D536" s="2"/>
    </row>
    <row r="537" spans="4:4" ht="15.75" customHeight="1" x14ac:dyDescent="0.3">
      <c r="D537" s="2"/>
    </row>
    <row r="538" spans="4:4" ht="15.75" customHeight="1" x14ac:dyDescent="0.3">
      <c r="D538" s="2"/>
    </row>
    <row r="539" spans="4:4" ht="15.75" customHeight="1" x14ac:dyDescent="0.3">
      <c r="D539" s="2"/>
    </row>
    <row r="540" spans="4:4" ht="15.75" customHeight="1" x14ac:dyDescent="0.3">
      <c r="D540" s="2"/>
    </row>
    <row r="541" spans="4:4" ht="15.75" customHeight="1" x14ac:dyDescent="0.3">
      <c r="D541" s="2"/>
    </row>
    <row r="542" spans="4:4" ht="15.75" customHeight="1" x14ac:dyDescent="0.3">
      <c r="D542" s="2"/>
    </row>
    <row r="543" spans="4:4" ht="15.75" customHeight="1" x14ac:dyDescent="0.3">
      <c r="D543" s="2"/>
    </row>
    <row r="544" spans="4:4" ht="15.75" customHeight="1" x14ac:dyDescent="0.3">
      <c r="D544" s="2"/>
    </row>
    <row r="545" spans="4:4" ht="15.75" customHeight="1" x14ac:dyDescent="0.3">
      <c r="D545" s="2"/>
    </row>
    <row r="546" spans="4:4" ht="15.75" customHeight="1" x14ac:dyDescent="0.3">
      <c r="D546" s="2"/>
    </row>
    <row r="547" spans="4:4" ht="15.75" customHeight="1" x14ac:dyDescent="0.3">
      <c r="D547" s="2"/>
    </row>
    <row r="548" spans="4:4" ht="15.75" customHeight="1" x14ac:dyDescent="0.3">
      <c r="D548" s="2"/>
    </row>
    <row r="549" spans="4:4" ht="15.75" customHeight="1" x14ac:dyDescent="0.3">
      <c r="D549" s="2"/>
    </row>
    <row r="550" spans="4:4" ht="15.75" customHeight="1" x14ac:dyDescent="0.3">
      <c r="D550" s="2"/>
    </row>
    <row r="551" spans="4:4" ht="15.75" customHeight="1" x14ac:dyDescent="0.3">
      <c r="D551" s="2"/>
    </row>
    <row r="552" spans="4:4" ht="15.75" customHeight="1" x14ac:dyDescent="0.3">
      <c r="D552" s="2"/>
    </row>
    <row r="553" spans="4:4" ht="15.75" customHeight="1" x14ac:dyDescent="0.3">
      <c r="D553" s="2"/>
    </row>
    <row r="554" spans="4:4" ht="15.75" customHeight="1" x14ac:dyDescent="0.3">
      <c r="D554" s="2"/>
    </row>
    <row r="555" spans="4:4" ht="15.75" customHeight="1" x14ac:dyDescent="0.3">
      <c r="D555" s="2"/>
    </row>
    <row r="556" spans="4:4" ht="15.75" customHeight="1" x14ac:dyDescent="0.3">
      <c r="D556" s="2"/>
    </row>
    <row r="557" spans="4:4" ht="15.75" customHeight="1" x14ac:dyDescent="0.3">
      <c r="D557" s="2"/>
    </row>
    <row r="558" spans="4:4" ht="15.75" customHeight="1" x14ac:dyDescent="0.3">
      <c r="D558" s="2"/>
    </row>
    <row r="559" spans="4:4" ht="15.75" customHeight="1" x14ac:dyDescent="0.3">
      <c r="D559" s="2"/>
    </row>
    <row r="560" spans="4:4" ht="15.75" customHeight="1" x14ac:dyDescent="0.3">
      <c r="D560" s="2"/>
    </row>
    <row r="561" spans="4:4" ht="15.75" customHeight="1" x14ac:dyDescent="0.3">
      <c r="D561" s="2"/>
    </row>
    <row r="562" spans="4:4" ht="15.75" customHeight="1" x14ac:dyDescent="0.3">
      <c r="D562" s="2"/>
    </row>
    <row r="563" spans="4:4" ht="15.75" customHeight="1" x14ac:dyDescent="0.3">
      <c r="D563" s="2"/>
    </row>
    <row r="564" spans="4:4" ht="15.75" customHeight="1" x14ac:dyDescent="0.3">
      <c r="D564" s="2"/>
    </row>
    <row r="565" spans="4:4" ht="15.75" customHeight="1" x14ac:dyDescent="0.3">
      <c r="D565" s="2"/>
    </row>
    <row r="566" spans="4:4" ht="15.75" customHeight="1" x14ac:dyDescent="0.3">
      <c r="D566" s="2"/>
    </row>
    <row r="567" spans="4:4" ht="15.75" customHeight="1" x14ac:dyDescent="0.3">
      <c r="D567" s="2"/>
    </row>
    <row r="568" spans="4:4" ht="15.75" customHeight="1" x14ac:dyDescent="0.3">
      <c r="D568" s="2"/>
    </row>
    <row r="569" spans="4:4" ht="15.75" customHeight="1" x14ac:dyDescent="0.3">
      <c r="D569" s="2"/>
    </row>
    <row r="570" spans="4:4" ht="15.75" customHeight="1" x14ac:dyDescent="0.3">
      <c r="D570" s="2"/>
    </row>
    <row r="571" spans="4:4" ht="15.75" customHeight="1" x14ac:dyDescent="0.3">
      <c r="D571" s="2"/>
    </row>
    <row r="572" spans="4:4" ht="15.75" customHeight="1" x14ac:dyDescent="0.3">
      <c r="D572" s="2"/>
    </row>
    <row r="573" spans="4:4" ht="15.75" customHeight="1" x14ac:dyDescent="0.3">
      <c r="D573" s="2"/>
    </row>
    <row r="574" spans="4:4" ht="15.75" customHeight="1" x14ac:dyDescent="0.3">
      <c r="D574" s="2"/>
    </row>
    <row r="575" spans="4:4" ht="15.75" customHeight="1" x14ac:dyDescent="0.3">
      <c r="D575" s="2"/>
    </row>
    <row r="576" spans="4:4" ht="15.75" customHeight="1" x14ac:dyDescent="0.3">
      <c r="D576" s="2"/>
    </row>
    <row r="577" spans="4:4" ht="15.75" customHeight="1" x14ac:dyDescent="0.3">
      <c r="D577" s="2"/>
    </row>
    <row r="578" spans="4:4" ht="15.75" customHeight="1" x14ac:dyDescent="0.3">
      <c r="D578" s="2"/>
    </row>
    <row r="579" spans="4:4" ht="15.75" customHeight="1" x14ac:dyDescent="0.3">
      <c r="D579" s="2"/>
    </row>
    <row r="580" spans="4:4" ht="15.75" customHeight="1" x14ac:dyDescent="0.3">
      <c r="D580" s="2"/>
    </row>
    <row r="581" spans="4:4" ht="15.75" customHeight="1" x14ac:dyDescent="0.3">
      <c r="D581" s="2"/>
    </row>
    <row r="582" spans="4:4" ht="15.75" customHeight="1" x14ac:dyDescent="0.3">
      <c r="D582" s="2"/>
    </row>
    <row r="583" spans="4:4" ht="15.75" customHeight="1" x14ac:dyDescent="0.3">
      <c r="D583" s="2"/>
    </row>
    <row r="584" spans="4:4" ht="15.75" customHeight="1" x14ac:dyDescent="0.3">
      <c r="D584" s="2"/>
    </row>
    <row r="585" spans="4:4" ht="15.75" customHeight="1" x14ac:dyDescent="0.3">
      <c r="D585" s="2"/>
    </row>
    <row r="586" spans="4:4" ht="15.75" customHeight="1" x14ac:dyDescent="0.3">
      <c r="D586" s="2"/>
    </row>
    <row r="587" spans="4:4" ht="15.75" customHeight="1" x14ac:dyDescent="0.3">
      <c r="D587" s="2"/>
    </row>
    <row r="588" spans="4:4" ht="15.75" customHeight="1" x14ac:dyDescent="0.3">
      <c r="D588" s="2"/>
    </row>
    <row r="589" spans="4:4" ht="15.75" customHeight="1" x14ac:dyDescent="0.3">
      <c r="D589" s="2"/>
    </row>
    <row r="590" spans="4:4" ht="15.75" customHeight="1" x14ac:dyDescent="0.3">
      <c r="D590" s="2"/>
    </row>
    <row r="591" spans="4:4" ht="15.75" customHeight="1" x14ac:dyDescent="0.3">
      <c r="D591" s="2"/>
    </row>
    <row r="592" spans="4:4" ht="15.75" customHeight="1" x14ac:dyDescent="0.3">
      <c r="D592" s="2"/>
    </row>
    <row r="593" spans="4:4" ht="15.75" customHeight="1" x14ac:dyDescent="0.3">
      <c r="D593" s="2"/>
    </row>
    <row r="594" spans="4:4" ht="15.75" customHeight="1" x14ac:dyDescent="0.3">
      <c r="D594" s="2"/>
    </row>
    <row r="595" spans="4:4" ht="15.75" customHeight="1" x14ac:dyDescent="0.3">
      <c r="D595" s="2"/>
    </row>
    <row r="596" spans="4:4" ht="15.75" customHeight="1" x14ac:dyDescent="0.3">
      <c r="D596" s="2"/>
    </row>
    <row r="597" spans="4:4" ht="15.75" customHeight="1" x14ac:dyDescent="0.3">
      <c r="D597" s="2"/>
    </row>
    <row r="598" spans="4:4" ht="15.75" customHeight="1" x14ac:dyDescent="0.3">
      <c r="D598" s="2"/>
    </row>
    <row r="599" spans="4:4" ht="15.75" customHeight="1" x14ac:dyDescent="0.3">
      <c r="D599" s="2"/>
    </row>
    <row r="600" spans="4:4" ht="15.75" customHeight="1" x14ac:dyDescent="0.3">
      <c r="D600" s="2"/>
    </row>
    <row r="601" spans="4:4" ht="15.75" customHeight="1" x14ac:dyDescent="0.3">
      <c r="D601" s="2"/>
    </row>
    <row r="602" spans="4:4" ht="15.75" customHeight="1" x14ac:dyDescent="0.3">
      <c r="D602" s="2"/>
    </row>
    <row r="603" spans="4:4" ht="15.75" customHeight="1" x14ac:dyDescent="0.3">
      <c r="D603" s="2"/>
    </row>
    <row r="604" spans="4:4" ht="15.75" customHeight="1" x14ac:dyDescent="0.3">
      <c r="D604" s="2"/>
    </row>
    <row r="605" spans="4:4" ht="15.75" customHeight="1" x14ac:dyDescent="0.3">
      <c r="D605" s="2"/>
    </row>
    <row r="606" spans="4:4" ht="15.75" customHeight="1" x14ac:dyDescent="0.3">
      <c r="D606" s="2"/>
    </row>
    <row r="607" spans="4:4" ht="15.75" customHeight="1" x14ac:dyDescent="0.3">
      <c r="D607" s="2"/>
    </row>
    <row r="608" spans="4:4" ht="15.75" customHeight="1" x14ac:dyDescent="0.3">
      <c r="D608" s="2"/>
    </row>
    <row r="609" spans="4:4" ht="15.75" customHeight="1" x14ac:dyDescent="0.3">
      <c r="D609" s="2"/>
    </row>
    <row r="610" spans="4:4" ht="15.75" customHeight="1" x14ac:dyDescent="0.3">
      <c r="D610" s="2"/>
    </row>
    <row r="611" spans="4:4" ht="15.75" customHeight="1" x14ac:dyDescent="0.3">
      <c r="D611" s="2"/>
    </row>
    <row r="612" spans="4:4" ht="15.75" customHeight="1" x14ac:dyDescent="0.3">
      <c r="D612" s="2"/>
    </row>
    <row r="613" spans="4:4" ht="15.75" customHeight="1" x14ac:dyDescent="0.3">
      <c r="D613" s="2"/>
    </row>
    <row r="614" spans="4:4" ht="15.75" customHeight="1" x14ac:dyDescent="0.3">
      <c r="D614" s="2"/>
    </row>
    <row r="615" spans="4:4" ht="15.75" customHeight="1" x14ac:dyDescent="0.3">
      <c r="D615" s="2"/>
    </row>
    <row r="616" spans="4:4" ht="15.75" customHeight="1" x14ac:dyDescent="0.3">
      <c r="D616" s="2"/>
    </row>
    <row r="617" spans="4:4" ht="15.75" customHeight="1" x14ac:dyDescent="0.3">
      <c r="D617" s="2"/>
    </row>
    <row r="618" spans="4:4" ht="15.75" customHeight="1" x14ac:dyDescent="0.3">
      <c r="D618" s="2"/>
    </row>
    <row r="619" spans="4:4" ht="15.75" customHeight="1" x14ac:dyDescent="0.3">
      <c r="D619" s="2"/>
    </row>
    <row r="620" spans="4:4" ht="15.75" customHeight="1" x14ac:dyDescent="0.3">
      <c r="D620" s="2"/>
    </row>
    <row r="621" spans="4:4" ht="15.75" customHeight="1" x14ac:dyDescent="0.3">
      <c r="D621" s="2"/>
    </row>
    <row r="622" spans="4:4" ht="15.75" customHeight="1" x14ac:dyDescent="0.3">
      <c r="D622" s="2"/>
    </row>
    <row r="623" spans="4:4" ht="15.75" customHeight="1" x14ac:dyDescent="0.3">
      <c r="D623" s="2"/>
    </row>
    <row r="624" spans="4:4" ht="15.75" customHeight="1" x14ac:dyDescent="0.3">
      <c r="D624" s="2"/>
    </row>
    <row r="625" spans="4:4" ht="15.75" customHeight="1" x14ac:dyDescent="0.3">
      <c r="D625" s="2"/>
    </row>
    <row r="626" spans="4:4" ht="15.75" customHeight="1" x14ac:dyDescent="0.3">
      <c r="D626" s="2"/>
    </row>
    <row r="627" spans="4:4" ht="15.75" customHeight="1" x14ac:dyDescent="0.3">
      <c r="D627" s="2"/>
    </row>
    <row r="628" spans="4:4" ht="15.75" customHeight="1" x14ac:dyDescent="0.3">
      <c r="D628" s="2"/>
    </row>
    <row r="629" spans="4:4" ht="15.75" customHeight="1" x14ac:dyDescent="0.3">
      <c r="D629" s="2"/>
    </row>
    <row r="630" spans="4:4" ht="15.75" customHeight="1" x14ac:dyDescent="0.3">
      <c r="D630" s="2"/>
    </row>
    <row r="631" spans="4:4" ht="15.75" customHeight="1" x14ac:dyDescent="0.3">
      <c r="D631" s="2"/>
    </row>
    <row r="632" spans="4:4" ht="15.75" customHeight="1" x14ac:dyDescent="0.3">
      <c r="D632" s="2"/>
    </row>
    <row r="633" spans="4:4" ht="15.75" customHeight="1" x14ac:dyDescent="0.3">
      <c r="D633" s="2"/>
    </row>
    <row r="634" spans="4:4" ht="15.75" customHeight="1" x14ac:dyDescent="0.3">
      <c r="D634" s="2"/>
    </row>
    <row r="635" spans="4:4" ht="15.75" customHeight="1" x14ac:dyDescent="0.3">
      <c r="D635" s="2"/>
    </row>
    <row r="636" spans="4:4" ht="15.75" customHeight="1" x14ac:dyDescent="0.3">
      <c r="D636" s="2"/>
    </row>
    <row r="637" spans="4:4" ht="15.75" customHeight="1" x14ac:dyDescent="0.3">
      <c r="D637" s="2"/>
    </row>
    <row r="638" spans="4:4" ht="15.75" customHeight="1" x14ac:dyDescent="0.3">
      <c r="D638" s="2"/>
    </row>
    <row r="639" spans="4:4" ht="15.75" customHeight="1" x14ac:dyDescent="0.3">
      <c r="D639" s="2"/>
    </row>
    <row r="640" spans="4:4" ht="15.75" customHeight="1" x14ac:dyDescent="0.3">
      <c r="D640" s="2"/>
    </row>
    <row r="641" spans="4:4" ht="15.75" customHeight="1" x14ac:dyDescent="0.3">
      <c r="D641" s="2"/>
    </row>
    <row r="642" spans="4:4" ht="15.75" customHeight="1" x14ac:dyDescent="0.3">
      <c r="D642" s="2"/>
    </row>
    <row r="643" spans="4:4" ht="15.75" customHeight="1" x14ac:dyDescent="0.3">
      <c r="D643" s="2"/>
    </row>
    <row r="644" spans="4:4" ht="15.75" customHeight="1" x14ac:dyDescent="0.3">
      <c r="D644" s="2"/>
    </row>
    <row r="645" spans="4:4" ht="15.75" customHeight="1" x14ac:dyDescent="0.3">
      <c r="D645" s="2"/>
    </row>
    <row r="646" spans="4:4" ht="15.75" customHeight="1" x14ac:dyDescent="0.3">
      <c r="D646" s="2"/>
    </row>
    <row r="647" spans="4:4" ht="15.75" customHeight="1" x14ac:dyDescent="0.3">
      <c r="D647" s="2"/>
    </row>
    <row r="648" spans="4:4" ht="15.75" customHeight="1" x14ac:dyDescent="0.3">
      <c r="D648" s="2"/>
    </row>
    <row r="649" spans="4:4" ht="15.75" customHeight="1" x14ac:dyDescent="0.3">
      <c r="D649" s="2"/>
    </row>
    <row r="650" spans="4:4" ht="15.75" customHeight="1" x14ac:dyDescent="0.3">
      <c r="D650" s="2"/>
    </row>
    <row r="651" spans="4:4" ht="15.75" customHeight="1" x14ac:dyDescent="0.3">
      <c r="D651" s="2"/>
    </row>
    <row r="652" spans="4:4" ht="15.75" customHeight="1" x14ac:dyDescent="0.3">
      <c r="D652" s="2"/>
    </row>
    <row r="653" spans="4:4" ht="15.75" customHeight="1" x14ac:dyDescent="0.3">
      <c r="D653" s="2"/>
    </row>
    <row r="654" spans="4:4" ht="15.75" customHeight="1" x14ac:dyDescent="0.3">
      <c r="D654" s="2"/>
    </row>
    <row r="655" spans="4:4" ht="15.75" customHeight="1" x14ac:dyDescent="0.3">
      <c r="D655" s="2"/>
    </row>
    <row r="656" spans="4:4" ht="15.75" customHeight="1" x14ac:dyDescent="0.3">
      <c r="D656" s="2"/>
    </row>
    <row r="657" spans="4:4" ht="15.75" customHeight="1" x14ac:dyDescent="0.3">
      <c r="D657" s="2"/>
    </row>
    <row r="658" spans="4:4" ht="15.75" customHeight="1" x14ac:dyDescent="0.3">
      <c r="D658" s="2"/>
    </row>
    <row r="659" spans="4:4" ht="15.75" customHeight="1" x14ac:dyDescent="0.3">
      <c r="D659" s="2"/>
    </row>
    <row r="660" spans="4:4" ht="15.75" customHeight="1" x14ac:dyDescent="0.3">
      <c r="D660" s="2"/>
    </row>
    <row r="661" spans="4:4" ht="15.75" customHeight="1" x14ac:dyDescent="0.3">
      <c r="D661" s="2"/>
    </row>
    <row r="662" spans="4:4" ht="15.75" customHeight="1" x14ac:dyDescent="0.3">
      <c r="D662" s="2"/>
    </row>
    <row r="663" spans="4:4" ht="15.75" customHeight="1" x14ac:dyDescent="0.3">
      <c r="D663" s="2"/>
    </row>
    <row r="664" spans="4:4" ht="15.75" customHeight="1" x14ac:dyDescent="0.3">
      <c r="D664" s="2"/>
    </row>
    <row r="665" spans="4:4" ht="15.75" customHeight="1" x14ac:dyDescent="0.3">
      <c r="D665" s="2"/>
    </row>
    <row r="666" spans="4:4" ht="15.75" customHeight="1" x14ac:dyDescent="0.3">
      <c r="D666" s="2"/>
    </row>
    <row r="667" spans="4:4" ht="15.75" customHeight="1" x14ac:dyDescent="0.3">
      <c r="D667" s="2"/>
    </row>
    <row r="668" spans="4:4" ht="15.75" customHeight="1" x14ac:dyDescent="0.3">
      <c r="D668" s="2"/>
    </row>
    <row r="669" spans="4:4" ht="15.75" customHeight="1" x14ac:dyDescent="0.3">
      <c r="D669" s="2"/>
    </row>
    <row r="670" spans="4:4" ht="15.75" customHeight="1" x14ac:dyDescent="0.3">
      <c r="D670" s="2"/>
    </row>
    <row r="671" spans="4:4" ht="15.75" customHeight="1" x14ac:dyDescent="0.3">
      <c r="D671" s="2"/>
    </row>
    <row r="672" spans="4:4" ht="15.75" customHeight="1" x14ac:dyDescent="0.3">
      <c r="D672" s="2"/>
    </row>
    <row r="673" spans="4:4" ht="15.75" customHeight="1" x14ac:dyDescent="0.3">
      <c r="D673" s="2"/>
    </row>
    <row r="674" spans="4:4" ht="15.75" customHeight="1" x14ac:dyDescent="0.3">
      <c r="D674" s="2"/>
    </row>
    <row r="675" spans="4:4" ht="15.75" customHeight="1" x14ac:dyDescent="0.3">
      <c r="D675" s="2"/>
    </row>
    <row r="676" spans="4:4" ht="15.75" customHeight="1" x14ac:dyDescent="0.3">
      <c r="D676" s="2"/>
    </row>
    <row r="677" spans="4:4" ht="15.75" customHeight="1" x14ac:dyDescent="0.3">
      <c r="D677" s="2"/>
    </row>
    <row r="678" spans="4:4" ht="15.75" customHeight="1" x14ac:dyDescent="0.3">
      <c r="D678" s="2"/>
    </row>
    <row r="679" spans="4:4" ht="15.75" customHeight="1" x14ac:dyDescent="0.3">
      <c r="D679" s="2"/>
    </row>
    <row r="680" spans="4:4" ht="15.75" customHeight="1" x14ac:dyDescent="0.3">
      <c r="D680" s="2"/>
    </row>
    <row r="681" spans="4:4" ht="15.75" customHeight="1" x14ac:dyDescent="0.3">
      <c r="D681" s="2"/>
    </row>
    <row r="682" spans="4:4" ht="15.75" customHeight="1" x14ac:dyDescent="0.3">
      <c r="D682" s="2"/>
    </row>
    <row r="683" spans="4:4" ht="15.75" customHeight="1" x14ac:dyDescent="0.3">
      <c r="D683" s="2"/>
    </row>
    <row r="684" spans="4:4" ht="15.75" customHeight="1" x14ac:dyDescent="0.3">
      <c r="D684" s="2"/>
    </row>
    <row r="685" spans="4:4" ht="15.75" customHeight="1" x14ac:dyDescent="0.3">
      <c r="D685" s="2"/>
    </row>
    <row r="686" spans="4:4" ht="15.75" customHeight="1" x14ac:dyDescent="0.3">
      <c r="D686" s="2"/>
    </row>
    <row r="687" spans="4:4" ht="15.75" customHeight="1" x14ac:dyDescent="0.3">
      <c r="D687" s="2"/>
    </row>
    <row r="688" spans="4:4" ht="15.75" customHeight="1" x14ac:dyDescent="0.3">
      <c r="D688" s="2"/>
    </row>
    <row r="689" spans="4:4" ht="15.75" customHeight="1" x14ac:dyDescent="0.3">
      <c r="D689" s="2"/>
    </row>
    <row r="690" spans="4:4" ht="15.75" customHeight="1" x14ac:dyDescent="0.3">
      <c r="D690" s="2"/>
    </row>
    <row r="691" spans="4:4" ht="15.75" customHeight="1" x14ac:dyDescent="0.3">
      <c r="D691" s="2"/>
    </row>
    <row r="692" spans="4:4" ht="15.75" customHeight="1" x14ac:dyDescent="0.3">
      <c r="D692" s="2"/>
    </row>
    <row r="693" spans="4:4" ht="15.75" customHeight="1" x14ac:dyDescent="0.3">
      <c r="D693" s="2"/>
    </row>
    <row r="694" spans="4:4" ht="15.75" customHeight="1" x14ac:dyDescent="0.3">
      <c r="D694" s="2"/>
    </row>
    <row r="695" spans="4:4" ht="15.75" customHeight="1" x14ac:dyDescent="0.3">
      <c r="D695" s="2"/>
    </row>
    <row r="696" spans="4:4" ht="15.75" customHeight="1" x14ac:dyDescent="0.3">
      <c r="D696" s="2"/>
    </row>
    <row r="697" spans="4:4" ht="15.75" customHeight="1" x14ac:dyDescent="0.3">
      <c r="D697" s="2"/>
    </row>
    <row r="698" spans="4:4" ht="15.75" customHeight="1" x14ac:dyDescent="0.3">
      <c r="D698" s="2"/>
    </row>
    <row r="699" spans="4:4" ht="15.75" customHeight="1" x14ac:dyDescent="0.3">
      <c r="D699" s="2"/>
    </row>
    <row r="700" spans="4:4" ht="15.75" customHeight="1" x14ac:dyDescent="0.3">
      <c r="D700" s="2"/>
    </row>
    <row r="701" spans="4:4" ht="15.75" customHeight="1" x14ac:dyDescent="0.3">
      <c r="D701" s="2"/>
    </row>
    <row r="702" spans="4:4" ht="15.75" customHeight="1" x14ac:dyDescent="0.3">
      <c r="D702" s="2"/>
    </row>
    <row r="703" spans="4:4" ht="15.75" customHeight="1" x14ac:dyDescent="0.3">
      <c r="D703" s="2"/>
    </row>
    <row r="704" spans="4:4" ht="15.75" customHeight="1" x14ac:dyDescent="0.3">
      <c r="D704" s="2"/>
    </row>
    <row r="705" spans="4:4" ht="15.75" customHeight="1" x14ac:dyDescent="0.3">
      <c r="D705" s="2"/>
    </row>
    <row r="706" spans="4:4" ht="15.75" customHeight="1" x14ac:dyDescent="0.3">
      <c r="D706" s="2"/>
    </row>
    <row r="707" spans="4:4" ht="15.75" customHeight="1" x14ac:dyDescent="0.3">
      <c r="D707" s="2"/>
    </row>
    <row r="708" spans="4:4" ht="15.75" customHeight="1" x14ac:dyDescent="0.3">
      <c r="D708" s="2"/>
    </row>
    <row r="709" spans="4:4" ht="15.75" customHeight="1" x14ac:dyDescent="0.3">
      <c r="D709" s="2"/>
    </row>
    <row r="710" spans="4:4" ht="15.75" customHeight="1" x14ac:dyDescent="0.3">
      <c r="D710" s="2"/>
    </row>
    <row r="711" spans="4:4" ht="15.75" customHeight="1" x14ac:dyDescent="0.3">
      <c r="D711" s="2"/>
    </row>
    <row r="712" spans="4:4" ht="15.75" customHeight="1" x14ac:dyDescent="0.3">
      <c r="D712" s="2"/>
    </row>
    <row r="713" spans="4:4" ht="15.75" customHeight="1" x14ac:dyDescent="0.3">
      <c r="D713" s="2"/>
    </row>
    <row r="714" spans="4:4" ht="15.75" customHeight="1" x14ac:dyDescent="0.3">
      <c r="D714" s="2"/>
    </row>
    <row r="715" spans="4:4" ht="15.75" customHeight="1" x14ac:dyDescent="0.3">
      <c r="D715" s="2"/>
    </row>
    <row r="716" spans="4:4" ht="15.75" customHeight="1" x14ac:dyDescent="0.3">
      <c r="D716" s="2"/>
    </row>
    <row r="717" spans="4:4" ht="15.75" customHeight="1" x14ac:dyDescent="0.3">
      <c r="D717" s="2"/>
    </row>
    <row r="718" spans="4:4" ht="15.75" customHeight="1" x14ac:dyDescent="0.3">
      <c r="D718" s="2"/>
    </row>
    <row r="719" spans="4:4" ht="15.75" customHeight="1" x14ac:dyDescent="0.3">
      <c r="D719" s="2"/>
    </row>
    <row r="720" spans="4:4" ht="15.75" customHeight="1" x14ac:dyDescent="0.3">
      <c r="D720" s="2"/>
    </row>
    <row r="721" spans="4:4" ht="15.75" customHeight="1" x14ac:dyDescent="0.3">
      <c r="D721" s="2"/>
    </row>
    <row r="722" spans="4:4" ht="15.75" customHeight="1" x14ac:dyDescent="0.3">
      <c r="D722" s="2"/>
    </row>
    <row r="723" spans="4:4" ht="15.75" customHeight="1" x14ac:dyDescent="0.3">
      <c r="D723" s="2"/>
    </row>
    <row r="724" spans="4:4" ht="15.75" customHeight="1" x14ac:dyDescent="0.3">
      <c r="D724" s="2"/>
    </row>
    <row r="725" spans="4:4" ht="15.75" customHeight="1" x14ac:dyDescent="0.3">
      <c r="D725" s="2"/>
    </row>
    <row r="726" spans="4:4" ht="15.75" customHeight="1" x14ac:dyDescent="0.3">
      <c r="D726" s="2"/>
    </row>
    <row r="727" spans="4:4" ht="15.75" customHeight="1" x14ac:dyDescent="0.3">
      <c r="D727" s="2"/>
    </row>
    <row r="728" spans="4:4" ht="15.75" customHeight="1" x14ac:dyDescent="0.3">
      <c r="D728" s="2"/>
    </row>
    <row r="729" spans="4:4" ht="15.75" customHeight="1" x14ac:dyDescent="0.3">
      <c r="D729" s="2"/>
    </row>
    <row r="730" spans="4:4" ht="15.75" customHeight="1" x14ac:dyDescent="0.3">
      <c r="D730" s="2"/>
    </row>
    <row r="731" spans="4:4" ht="15.75" customHeight="1" x14ac:dyDescent="0.3">
      <c r="D731" s="2"/>
    </row>
    <row r="732" spans="4:4" ht="15.75" customHeight="1" x14ac:dyDescent="0.3">
      <c r="D732" s="2"/>
    </row>
    <row r="733" spans="4:4" ht="15.75" customHeight="1" x14ac:dyDescent="0.3">
      <c r="D733" s="2"/>
    </row>
    <row r="734" spans="4:4" ht="15.75" customHeight="1" x14ac:dyDescent="0.3">
      <c r="D734" s="2"/>
    </row>
    <row r="735" spans="4:4" ht="15.75" customHeight="1" x14ac:dyDescent="0.3">
      <c r="D735" s="2"/>
    </row>
    <row r="736" spans="4:4" ht="15.75" customHeight="1" x14ac:dyDescent="0.3">
      <c r="D736" s="2"/>
    </row>
    <row r="737" spans="4:4" ht="15.75" customHeight="1" x14ac:dyDescent="0.3">
      <c r="D737" s="2"/>
    </row>
    <row r="738" spans="4:4" ht="15.75" customHeight="1" x14ac:dyDescent="0.3">
      <c r="D738" s="2"/>
    </row>
    <row r="739" spans="4:4" ht="15.75" customHeight="1" x14ac:dyDescent="0.3">
      <c r="D739" s="2"/>
    </row>
    <row r="740" spans="4:4" ht="15.75" customHeight="1" x14ac:dyDescent="0.3">
      <c r="D740" s="2"/>
    </row>
    <row r="741" spans="4:4" ht="15.75" customHeight="1" x14ac:dyDescent="0.3">
      <c r="D741" s="2"/>
    </row>
    <row r="742" spans="4:4" ht="15.75" customHeight="1" x14ac:dyDescent="0.3">
      <c r="D742" s="2"/>
    </row>
    <row r="743" spans="4:4" ht="15.75" customHeight="1" x14ac:dyDescent="0.3">
      <c r="D743" s="2"/>
    </row>
    <row r="744" spans="4:4" ht="15.75" customHeight="1" x14ac:dyDescent="0.3">
      <c r="D744" s="2"/>
    </row>
    <row r="745" spans="4:4" ht="15.75" customHeight="1" x14ac:dyDescent="0.3">
      <c r="D745" s="2"/>
    </row>
    <row r="746" spans="4:4" ht="15.75" customHeight="1" x14ac:dyDescent="0.3">
      <c r="D746" s="2"/>
    </row>
    <row r="747" spans="4:4" ht="15.75" customHeight="1" x14ac:dyDescent="0.3">
      <c r="D747" s="2"/>
    </row>
    <row r="748" spans="4:4" ht="15.75" customHeight="1" x14ac:dyDescent="0.3">
      <c r="D748" s="2"/>
    </row>
    <row r="749" spans="4:4" ht="15.75" customHeight="1" x14ac:dyDescent="0.3">
      <c r="D749" s="2"/>
    </row>
    <row r="750" spans="4:4" ht="15.75" customHeight="1" x14ac:dyDescent="0.3">
      <c r="D750" s="2"/>
    </row>
    <row r="751" spans="4:4" ht="15.75" customHeight="1" x14ac:dyDescent="0.3">
      <c r="D751" s="2"/>
    </row>
    <row r="752" spans="4:4" ht="15.75" customHeight="1" x14ac:dyDescent="0.3">
      <c r="D752" s="2"/>
    </row>
    <row r="753" spans="4:4" ht="15.75" customHeight="1" x14ac:dyDescent="0.3">
      <c r="D753" s="2"/>
    </row>
    <row r="754" spans="4:4" ht="15.75" customHeight="1" x14ac:dyDescent="0.3">
      <c r="D754" s="2"/>
    </row>
    <row r="755" spans="4:4" ht="15.75" customHeight="1" x14ac:dyDescent="0.3">
      <c r="D755" s="2"/>
    </row>
    <row r="756" spans="4:4" ht="15.75" customHeight="1" x14ac:dyDescent="0.3">
      <c r="D756" s="2"/>
    </row>
    <row r="757" spans="4:4" ht="15.75" customHeight="1" x14ac:dyDescent="0.3">
      <c r="D757" s="2"/>
    </row>
    <row r="758" spans="4:4" ht="15.75" customHeight="1" x14ac:dyDescent="0.3">
      <c r="D758" s="2"/>
    </row>
    <row r="759" spans="4:4" ht="15.75" customHeight="1" x14ac:dyDescent="0.3">
      <c r="D759" s="2"/>
    </row>
    <row r="760" spans="4:4" ht="15.75" customHeight="1" x14ac:dyDescent="0.3">
      <c r="D760" s="2"/>
    </row>
    <row r="761" spans="4:4" ht="15.75" customHeight="1" x14ac:dyDescent="0.3">
      <c r="D761" s="2"/>
    </row>
    <row r="762" spans="4:4" ht="15.75" customHeight="1" x14ac:dyDescent="0.3">
      <c r="D762" s="2"/>
    </row>
    <row r="763" spans="4:4" ht="15.75" customHeight="1" x14ac:dyDescent="0.3">
      <c r="D763" s="2"/>
    </row>
    <row r="764" spans="4:4" ht="15.75" customHeight="1" x14ac:dyDescent="0.3">
      <c r="D764" s="2"/>
    </row>
    <row r="765" spans="4:4" ht="15.75" customHeight="1" x14ac:dyDescent="0.3">
      <c r="D765" s="2"/>
    </row>
    <row r="766" spans="4:4" ht="15.75" customHeight="1" x14ac:dyDescent="0.3">
      <c r="D766" s="2"/>
    </row>
    <row r="767" spans="4:4" ht="15.75" customHeight="1" x14ac:dyDescent="0.3">
      <c r="D767" s="2"/>
    </row>
    <row r="768" spans="4:4" ht="15.75" customHeight="1" x14ac:dyDescent="0.3">
      <c r="D768" s="2"/>
    </row>
    <row r="769" spans="4:4" ht="15.75" customHeight="1" x14ac:dyDescent="0.3">
      <c r="D769" s="2"/>
    </row>
    <row r="770" spans="4:4" ht="15.75" customHeight="1" x14ac:dyDescent="0.3">
      <c r="D770" s="2"/>
    </row>
    <row r="771" spans="4:4" ht="15.75" customHeight="1" x14ac:dyDescent="0.3">
      <c r="D771" s="2"/>
    </row>
    <row r="772" spans="4:4" ht="15.75" customHeight="1" x14ac:dyDescent="0.3">
      <c r="D772" s="2"/>
    </row>
    <row r="773" spans="4:4" ht="15.75" customHeight="1" x14ac:dyDescent="0.3">
      <c r="D773" s="2"/>
    </row>
    <row r="774" spans="4:4" ht="15.75" customHeight="1" x14ac:dyDescent="0.3">
      <c r="D774" s="2"/>
    </row>
    <row r="775" spans="4:4" ht="15.75" customHeight="1" x14ac:dyDescent="0.3">
      <c r="D775" s="2"/>
    </row>
    <row r="776" spans="4:4" ht="15.75" customHeight="1" x14ac:dyDescent="0.3">
      <c r="D776" s="2"/>
    </row>
    <row r="777" spans="4:4" ht="15.75" customHeight="1" x14ac:dyDescent="0.3">
      <c r="D777" s="2"/>
    </row>
    <row r="778" spans="4:4" ht="15.75" customHeight="1" x14ac:dyDescent="0.3">
      <c r="D778" s="2"/>
    </row>
    <row r="779" spans="4:4" ht="15.75" customHeight="1" x14ac:dyDescent="0.3">
      <c r="D779" s="2"/>
    </row>
    <row r="780" spans="4:4" ht="15.75" customHeight="1" x14ac:dyDescent="0.3">
      <c r="D780" s="2"/>
    </row>
    <row r="781" spans="4:4" ht="15.75" customHeight="1" x14ac:dyDescent="0.3">
      <c r="D781" s="2"/>
    </row>
    <row r="782" spans="4:4" ht="15.75" customHeight="1" x14ac:dyDescent="0.3">
      <c r="D782" s="2"/>
    </row>
    <row r="783" spans="4:4" ht="15.75" customHeight="1" x14ac:dyDescent="0.3">
      <c r="D783" s="2"/>
    </row>
    <row r="784" spans="4:4" ht="15.75" customHeight="1" x14ac:dyDescent="0.3">
      <c r="D784" s="2"/>
    </row>
    <row r="785" spans="4:4" ht="15.75" customHeight="1" x14ac:dyDescent="0.3">
      <c r="D785" s="2"/>
    </row>
    <row r="786" spans="4:4" ht="15.75" customHeight="1" x14ac:dyDescent="0.3">
      <c r="D786" s="2"/>
    </row>
    <row r="787" spans="4:4" ht="15.75" customHeight="1" x14ac:dyDescent="0.3">
      <c r="D787" s="2"/>
    </row>
    <row r="788" spans="4:4" ht="15.75" customHeight="1" x14ac:dyDescent="0.3">
      <c r="D788" s="2"/>
    </row>
    <row r="789" spans="4:4" ht="15.75" customHeight="1" x14ac:dyDescent="0.3">
      <c r="D789" s="2"/>
    </row>
    <row r="790" spans="4:4" ht="15.75" customHeight="1" x14ac:dyDescent="0.3">
      <c r="D790" s="2"/>
    </row>
    <row r="791" spans="4:4" ht="15.75" customHeight="1" x14ac:dyDescent="0.3">
      <c r="D791" s="2"/>
    </row>
    <row r="792" spans="4:4" ht="15.75" customHeight="1" x14ac:dyDescent="0.3">
      <c r="D792" s="2"/>
    </row>
    <row r="793" spans="4:4" ht="15.75" customHeight="1" x14ac:dyDescent="0.3">
      <c r="D793" s="2"/>
    </row>
    <row r="794" spans="4:4" ht="15.75" customHeight="1" x14ac:dyDescent="0.3">
      <c r="D794" s="2"/>
    </row>
    <row r="795" spans="4:4" ht="15.75" customHeight="1" x14ac:dyDescent="0.3">
      <c r="D795" s="2"/>
    </row>
    <row r="796" spans="4:4" ht="15.75" customHeight="1" x14ac:dyDescent="0.3">
      <c r="D796" s="2"/>
    </row>
    <row r="797" spans="4:4" ht="15.75" customHeight="1" x14ac:dyDescent="0.3">
      <c r="D797" s="2"/>
    </row>
    <row r="798" spans="4:4" ht="15.75" customHeight="1" x14ac:dyDescent="0.3">
      <c r="D798" s="2"/>
    </row>
    <row r="799" spans="4:4" ht="15.75" customHeight="1" x14ac:dyDescent="0.3">
      <c r="D799" s="2"/>
    </row>
    <row r="800" spans="4:4" ht="15.75" customHeight="1" x14ac:dyDescent="0.3">
      <c r="D800" s="2"/>
    </row>
    <row r="801" spans="4:4" ht="15.75" customHeight="1" x14ac:dyDescent="0.3">
      <c r="D801" s="2"/>
    </row>
    <row r="802" spans="4:4" ht="15.75" customHeight="1" x14ac:dyDescent="0.3">
      <c r="D802" s="2"/>
    </row>
    <row r="803" spans="4:4" ht="15.75" customHeight="1" x14ac:dyDescent="0.3">
      <c r="D803" s="2"/>
    </row>
    <row r="804" spans="4:4" ht="15.75" customHeight="1" x14ac:dyDescent="0.3">
      <c r="D804" s="2"/>
    </row>
    <row r="805" spans="4:4" ht="15.75" customHeight="1" x14ac:dyDescent="0.3">
      <c r="D805" s="2"/>
    </row>
    <row r="806" spans="4:4" ht="15.75" customHeight="1" x14ac:dyDescent="0.3">
      <c r="D806" s="2"/>
    </row>
    <row r="807" spans="4:4" ht="15.75" customHeight="1" x14ac:dyDescent="0.3">
      <c r="D807" s="2"/>
    </row>
    <row r="808" spans="4:4" ht="15.75" customHeight="1" x14ac:dyDescent="0.3">
      <c r="D808" s="2"/>
    </row>
    <row r="809" spans="4:4" ht="15.75" customHeight="1" x14ac:dyDescent="0.3">
      <c r="D809" s="2"/>
    </row>
    <row r="810" spans="4:4" ht="15.75" customHeight="1" x14ac:dyDescent="0.3">
      <c r="D810" s="2"/>
    </row>
    <row r="811" spans="4:4" ht="15.75" customHeight="1" x14ac:dyDescent="0.3">
      <c r="D811" s="2"/>
    </row>
    <row r="812" spans="4:4" ht="15.75" customHeight="1" x14ac:dyDescent="0.3">
      <c r="D812" s="2"/>
    </row>
    <row r="813" spans="4:4" ht="15.75" customHeight="1" x14ac:dyDescent="0.3">
      <c r="D813" s="2"/>
    </row>
    <row r="814" spans="4:4" ht="15.75" customHeight="1" x14ac:dyDescent="0.3">
      <c r="D814" s="2"/>
    </row>
    <row r="815" spans="4:4" ht="15.75" customHeight="1" x14ac:dyDescent="0.3">
      <c r="D815" s="2"/>
    </row>
    <row r="816" spans="4:4" ht="15.75" customHeight="1" x14ac:dyDescent="0.3">
      <c r="D816" s="2"/>
    </row>
    <row r="817" spans="4:4" ht="15.75" customHeight="1" x14ac:dyDescent="0.3">
      <c r="D817" s="2"/>
    </row>
    <row r="818" spans="4:4" ht="15.75" customHeight="1" x14ac:dyDescent="0.3">
      <c r="D818" s="2"/>
    </row>
    <row r="819" spans="4:4" ht="15.75" customHeight="1" x14ac:dyDescent="0.3">
      <c r="D819" s="2"/>
    </row>
    <row r="820" spans="4:4" ht="15.75" customHeight="1" x14ac:dyDescent="0.3">
      <c r="D820" s="2"/>
    </row>
    <row r="821" spans="4:4" ht="15.75" customHeight="1" x14ac:dyDescent="0.3">
      <c r="D821" s="2"/>
    </row>
    <row r="822" spans="4:4" ht="15.75" customHeight="1" x14ac:dyDescent="0.3">
      <c r="D822" s="2"/>
    </row>
    <row r="823" spans="4:4" ht="15.75" customHeight="1" x14ac:dyDescent="0.3">
      <c r="D823" s="2"/>
    </row>
    <row r="824" spans="4:4" ht="15.75" customHeight="1" x14ac:dyDescent="0.3">
      <c r="D824" s="2"/>
    </row>
    <row r="825" spans="4:4" ht="15.75" customHeight="1" x14ac:dyDescent="0.3">
      <c r="D825" s="2"/>
    </row>
    <row r="826" spans="4:4" ht="15.75" customHeight="1" x14ac:dyDescent="0.3">
      <c r="D826" s="2"/>
    </row>
    <row r="827" spans="4:4" ht="15.75" customHeight="1" x14ac:dyDescent="0.3">
      <c r="D827" s="2"/>
    </row>
    <row r="828" spans="4:4" ht="15.75" customHeight="1" x14ac:dyDescent="0.3">
      <c r="D828" s="2"/>
    </row>
    <row r="829" spans="4:4" ht="15.75" customHeight="1" x14ac:dyDescent="0.3">
      <c r="D829" s="2"/>
    </row>
    <row r="830" spans="4:4" ht="15.75" customHeight="1" x14ac:dyDescent="0.3">
      <c r="D830" s="2"/>
    </row>
    <row r="831" spans="4:4" ht="15.75" customHeight="1" x14ac:dyDescent="0.3">
      <c r="D831" s="2"/>
    </row>
    <row r="832" spans="4:4" ht="15.75" customHeight="1" x14ac:dyDescent="0.3">
      <c r="D832" s="2"/>
    </row>
    <row r="833" spans="4:4" ht="15.75" customHeight="1" x14ac:dyDescent="0.3">
      <c r="D833" s="2"/>
    </row>
    <row r="834" spans="4:4" ht="15.75" customHeight="1" x14ac:dyDescent="0.3">
      <c r="D834" s="2"/>
    </row>
    <row r="835" spans="4:4" ht="15.75" customHeight="1" x14ac:dyDescent="0.3">
      <c r="D835" s="2"/>
    </row>
    <row r="836" spans="4:4" ht="15.75" customHeight="1" x14ac:dyDescent="0.3">
      <c r="D836" s="2"/>
    </row>
    <row r="837" spans="4:4" ht="15.75" customHeight="1" x14ac:dyDescent="0.3">
      <c r="D837" s="2"/>
    </row>
    <row r="838" spans="4:4" ht="15.75" customHeight="1" x14ac:dyDescent="0.3">
      <c r="D838" s="2"/>
    </row>
    <row r="839" spans="4:4" ht="15.75" customHeight="1" x14ac:dyDescent="0.3">
      <c r="D839" s="2"/>
    </row>
    <row r="840" spans="4:4" ht="15.75" customHeight="1" x14ac:dyDescent="0.3">
      <c r="D840" s="2"/>
    </row>
    <row r="841" spans="4:4" ht="15.75" customHeight="1" x14ac:dyDescent="0.3">
      <c r="D841" s="2"/>
    </row>
    <row r="842" spans="4:4" ht="15.75" customHeight="1" x14ac:dyDescent="0.3">
      <c r="D842" s="2"/>
    </row>
    <row r="843" spans="4:4" ht="15.75" customHeight="1" x14ac:dyDescent="0.3">
      <c r="D843" s="2"/>
    </row>
    <row r="844" spans="4:4" ht="15.75" customHeight="1" x14ac:dyDescent="0.3">
      <c r="D844" s="2"/>
    </row>
    <row r="845" spans="4:4" ht="15.75" customHeight="1" x14ac:dyDescent="0.3">
      <c r="D845" s="2"/>
    </row>
    <row r="846" spans="4:4" ht="15.75" customHeight="1" x14ac:dyDescent="0.3">
      <c r="D846" s="2"/>
    </row>
    <row r="847" spans="4:4" ht="15.75" customHeight="1" x14ac:dyDescent="0.3">
      <c r="D847" s="2"/>
    </row>
    <row r="848" spans="4:4" ht="15.75" customHeight="1" x14ac:dyDescent="0.3">
      <c r="D848" s="2"/>
    </row>
    <row r="849" spans="4:4" ht="15.75" customHeight="1" x14ac:dyDescent="0.3">
      <c r="D849" s="2"/>
    </row>
    <row r="850" spans="4:4" ht="15.75" customHeight="1" x14ac:dyDescent="0.3">
      <c r="D850" s="2"/>
    </row>
    <row r="851" spans="4:4" ht="15.75" customHeight="1" x14ac:dyDescent="0.3">
      <c r="D851" s="2"/>
    </row>
    <row r="852" spans="4:4" ht="15.75" customHeight="1" x14ac:dyDescent="0.3">
      <c r="D852" s="2"/>
    </row>
    <row r="853" spans="4:4" ht="15.75" customHeight="1" x14ac:dyDescent="0.3">
      <c r="D853" s="2"/>
    </row>
    <row r="854" spans="4:4" ht="15.75" customHeight="1" x14ac:dyDescent="0.3">
      <c r="D854" s="2"/>
    </row>
    <row r="855" spans="4:4" ht="15.75" customHeight="1" x14ac:dyDescent="0.3">
      <c r="D855" s="2"/>
    </row>
    <row r="856" spans="4:4" ht="15.75" customHeight="1" x14ac:dyDescent="0.3">
      <c r="D856" s="2"/>
    </row>
    <row r="857" spans="4:4" ht="15.75" customHeight="1" x14ac:dyDescent="0.3">
      <c r="D857" s="2"/>
    </row>
    <row r="858" spans="4:4" ht="15.75" customHeight="1" x14ac:dyDescent="0.3">
      <c r="D858" s="2"/>
    </row>
    <row r="859" spans="4:4" ht="15.75" customHeight="1" x14ac:dyDescent="0.3">
      <c r="D859" s="2"/>
    </row>
    <row r="860" spans="4:4" ht="15.75" customHeight="1" x14ac:dyDescent="0.3">
      <c r="D860" s="2"/>
    </row>
    <row r="861" spans="4:4" ht="15.75" customHeight="1" x14ac:dyDescent="0.3">
      <c r="D861" s="2"/>
    </row>
    <row r="862" spans="4:4" ht="15.75" customHeight="1" x14ac:dyDescent="0.3">
      <c r="D862" s="2"/>
    </row>
    <row r="863" spans="4:4" ht="15.75" customHeight="1" x14ac:dyDescent="0.3">
      <c r="D863" s="2"/>
    </row>
    <row r="864" spans="4:4" ht="15.75" customHeight="1" x14ac:dyDescent="0.3">
      <c r="D864" s="2"/>
    </row>
    <row r="865" spans="4:4" ht="15.75" customHeight="1" x14ac:dyDescent="0.3">
      <c r="D865" s="2"/>
    </row>
    <row r="866" spans="4:4" ht="15.75" customHeight="1" x14ac:dyDescent="0.3">
      <c r="D866" s="2"/>
    </row>
    <row r="867" spans="4:4" ht="15.75" customHeight="1" x14ac:dyDescent="0.3">
      <c r="D867" s="2"/>
    </row>
    <row r="868" spans="4:4" ht="15.75" customHeight="1" x14ac:dyDescent="0.3">
      <c r="D868" s="2"/>
    </row>
    <row r="869" spans="4:4" ht="15.75" customHeight="1" x14ac:dyDescent="0.3">
      <c r="D869" s="2"/>
    </row>
    <row r="870" spans="4:4" ht="15.75" customHeight="1" x14ac:dyDescent="0.3">
      <c r="D870" s="2"/>
    </row>
    <row r="871" spans="4:4" ht="15.75" customHeight="1" x14ac:dyDescent="0.3">
      <c r="D871" s="2"/>
    </row>
    <row r="872" spans="4:4" ht="15.75" customHeight="1" x14ac:dyDescent="0.3">
      <c r="D872" s="2"/>
    </row>
    <row r="873" spans="4:4" ht="15.75" customHeight="1" x14ac:dyDescent="0.3">
      <c r="D873" s="2"/>
    </row>
    <row r="874" spans="4:4" ht="15.75" customHeight="1" x14ac:dyDescent="0.3">
      <c r="D874" s="2"/>
    </row>
    <row r="875" spans="4:4" ht="15.75" customHeight="1" x14ac:dyDescent="0.3">
      <c r="D875" s="2"/>
    </row>
    <row r="876" spans="4:4" ht="15.75" customHeight="1" x14ac:dyDescent="0.3">
      <c r="D876" s="2"/>
    </row>
    <row r="877" spans="4:4" ht="15.75" customHeight="1" x14ac:dyDescent="0.3">
      <c r="D877" s="2"/>
    </row>
    <row r="878" spans="4:4" ht="15.75" customHeight="1" x14ac:dyDescent="0.3">
      <c r="D878" s="2"/>
    </row>
    <row r="879" spans="4:4" ht="15.75" customHeight="1" x14ac:dyDescent="0.3">
      <c r="D879" s="2"/>
    </row>
    <row r="880" spans="4:4" ht="15.75" customHeight="1" x14ac:dyDescent="0.3">
      <c r="D880" s="2"/>
    </row>
    <row r="881" spans="4:4" ht="15.75" customHeight="1" x14ac:dyDescent="0.3">
      <c r="D881" s="2"/>
    </row>
    <row r="882" spans="4:4" ht="15.75" customHeight="1" x14ac:dyDescent="0.3">
      <c r="D882" s="2"/>
    </row>
    <row r="883" spans="4:4" ht="15.75" customHeight="1" x14ac:dyDescent="0.3">
      <c r="D883" s="2"/>
    </row>
    <row r="884" spans="4:4" ht="15.75" customHeight="1" x14ac:dyDescent="0.3">
      <c r="D884" s="2"/>
    </row>
    <row r="885" spans="4:4" ht="15.75" customHeight="1" x14ac:dyDescent="0.3">
      <c r="D885" s="2"/>
    </row>
    <row r="886" spans="4:4" ht="15.75" customHeight="1" x14ac:dyDescent="0.3">
      <c r="D886" s="2"/>
    </row>
    <row r="887" spans="4:4" ht="15.75" customHeight="1" x14ac:dyDescent="0.3">
      <c r="D887" s="2"/>
    </row>
    <row r="888" spans="4:4" ht="15.75" customHeight="1" x14ac:dyDescent="0.3">
      <c r="D888" s="2"/>
    </row>
    <row r="889" spans="4:4" ht="15.75" customHeight="1" x14ac:dyDescent="0.3">
      <c r="D889" s="2"/>
    </row>
    <row r="890" spans="4:4" ht="15.75" customHeight="1" x14ac:dyDescent="0.3">
      <c r="D890" s="2"/>
    </row>
    <row r="891" spans="4:4" ht="15.75" customHeight="1" x14ac:dyDescent="0.3">
      <c r="D891" s="2"/>
    </row>
    <row r="892" spans="4:4" ht="15.75" customHeight="1" x14ac:dyDescent="0.3">
      <c r="D892" s="2"/>
    </row>
    <row r="893" spans="4:4" ht="15.75" customHeight="1" x14ac:dyDescent="0.3">
      <c r="D893" s="2"/>
    </row>
    <row r="894" spans="4:4" ht="15.75" customHeight="1" x14ac:dyDescent="0.3">
      <c r="D894" s="2"/>
    </row>
    <row r="895" spans="4:4" ht="15.75" customHeight="1" x14ac:dyDescent="0.3">
      <c r="D895" s="2"/>
    </row>
    <row r="896" spans="4:4" ht="15.75" customHeight="1" x14ac:dyDescent="0.3">
      <c r="D896" s="2"/>
    </row>
    <row r="897" spans="4:4" ht="15.75" customHeight="1" x14ac:dyDescent="0.3">
      <c r="D897" s="2"/>
    </row>
    <row r="898" spans="4:4" ht="15.75" customHeight="1" x14ac:dyDescent="0.3">
      <c r="D898" s="2"/>
    </row>
    <row r="899" spans="4:4" ht="15.75" customHeight="1" x14ac:dyDescent="0.3">
      <c r="D899" s="2"/>
    </row>
    <row r="900" spans="4:4" ht="15.75" customHeight="1" x14ac:dyDescent="0.3">
      <c r="D900" s="2"/>
    </row>
    <row r="901" spans="4:4" ht="15.75" customHeight="1" x14ac:dyDescent="0.3">
      <c r="D901" s="2"/>
    </row>
    <row r="902" spans="4:4" ht="15.75" customHeight="1" x14ac:dyDescent="0.3">
      <c r="D902" s="2"/>
    </row>
    <row r="903" spans="4:4" ht="15.75" customHeight="1" x14ac:dyDescent="0.3">
      <c r="D903" s="2"/>
    </row>
    <row r="904" spans="4:4" ht="15.75" customHeight="1" x14ac:dyDescent="0.3">
      <c r="D904" s="2"/>
    </row>
    <row r="905" spans="4:4" ht="15.75" customHeight="1" x14ac:dyDescent="0.3">
      <c r="D905" s="2"/>
    </row>
    <row r="906" spans="4:4" ht="15.75" customHeight="1" x14ac:dyDescent="0.3">
      <c r="D906" s="2"/>
    </row>
    <row r="907" spans="4:4" ht="15.75" customHeight="1" x14ac:dyDescent="0.3">
      <c r="D907" s="2"/>
    </row>
    <row r="908" spans="4:4" ht="15.75" customHeight="1" x14ac:dyDescent="0.3">
      <c r="D908" s="2"/>
    </row>
    <row r="909" spans="4:4" ht="15.75" customHeight="1" x14ac:dyDescent="0.3">
      <c r="D909" s="2"/>
    </row>
    <row r="910" spans="4:4" ht="15.75" customHeight="1" x14ac:dyDescent="0.3">
      <c r="D910" s="2"/>
    </row>
    <row r="911" spans="4:4" ht="15.75" customHeight="1" x14ac:dyDescent="0.3">
      <c r="D911" s="2"/>
    </row>
    <row r="912" spans="4:4" ht="15.75" customHeight="1" x14ac:dyDescent="0.3">
      <c r="D912" s="2"/>
    </row>
    <row r="913" spans="4:4" ht="15.75" customHeight="1" x14ac:dyDescent="0.3">
      <c r="D913" s="2"/>
    </row>
    <row r="914" spans="4:4" ht="15.75" customHeight="1" x14ac:dyDescent="0.3">
      <c r="D914" s="2"/>
    </row>
    <row r="915" spans="4:4" ht="15.75" customHeight="1" x14ac:dyDescent="0.3">
      <c r="D915" s="2"/>
    </row>
    <row r="916" spans="4:4" ht="15.75" customHeight="1" x14ac:dyDescent="0.3">
      <c r="D916" s="2"/>
    </row>
    <row r="917" spans="4:4" ht="15.75" customHeight="1" x14ac:dyDescent="0.3">
      <c r="D917" s="2"/>
    </row>
    <row r="918" spans="4:4" ht="15.75" customHeight="1" x14ac:dyDescent="0.3">
      <c r="D918" s="2"/>
    </row>
    <row r="919" spans="4:4" ht="15.75" customHeight="1" x14ac:dyDescent="0.3">
      <c r="D919" s="2"/>
    </row>
    <row r="920" spans="4:4" ht="15.75" customHeight="1" x14ac:dyDescent="0.3">
      <c r="D920" s="2"/>
    </row>
    <row r="921" spans="4:4" ht="15.75" customHeight="1" x14ac:dyDescent="0.3">
      <c r="D921" s="2"/>
    </row>
    <row r="922" spans="4:4" ht="15.75" customHeight="1" x14ac:dyDescent="0.3">
      <c r="D922" s="2"/>
    </row>
    <row r="923" spans="4:4" ht="15.75" customHeight="1" x14ac:dyDescent="0.3">
      <c r="D923" s="2"/>
    </row>
    <row r="924" spans="4:4" ht="15.75" customHeight="1" x14ac:dyDescent="0.3">
      <c r="D924" s="2"/>
    </row>
    <row r="925" spans="4:4" ht="15.75" customHeight="1" x14ac:dyDescent="0.3">
      <c r="D925" s="2"/>
    </row>
    <row r="926" spans="4:4" ht="15.75" customHeight="1" x14ac:dyDescent="0.3">
      <c r="D926" s="2"/>
    </row>
    <row r="927" spans="4:4" ht="15.75" customHeight="1" x14ac:dyDescent="0.3">
      <c r="D927" s="2"/>
    </row>
    <row r="928" spans="4:4" ht="15.75" customHeight="1" x14ac:dyDescent="0.3">
      <c r="D928" s="2"/>
    </row>
    <row r="929" spans="4:4" ht="15.75" customHeight="1" x14ac:dyDescent="0.3">
      <c r="D929" s="2"/>
    </row>
    <row r="930" spans="4:4" ht="15.75" customHeight="1" x14ac:dyDescent="0.3">
      <c r="D930" s="2"/>
    </row>
    <row r="931" spans="4:4" ht="15.75" customHeight="1" x14ac:dyDescent="0.3">
      <c r="D931" s="2"/>
    </row>
    <row r="932" spans="4:4" ht="15.75" customHeight="1" x14ac:dyDescent="0.3">
      <c r="D932" s="2"/>
    </row>
    <row r="933" spans="4:4" ht="15.75" customHeight="1" x14ac:dyDescent="0.3">
      <c r="D933" s="2"/>
    </row>
    <row r="934" spans="4:4" ht="15.75" customHeight="1" x14ac:dyDescent="0.3">
      <c r="D934" s="2"/>
    </row>
    <row r="935" spans="4:4" ht="15.75" customHeight="1" x14ac:dyDescent="0.3">
      <c r="D935" s="2"/>
    </row>
    <row r="936" spans="4:4" ht="15.75" customHeight="1" x14ac:dyDescent="0.3">
      <c r="D936" s="2"/>
    </row>
    <row r="937" spans="4:4" ht="15.75" customHeight="1" x14ac:dyDescent="0.3">
      <c r="D937" s="2"/>
    </row>
    <row r="938" spans="4:4" ht="15.75" customHeight="1" x14ac:dyDescent="0.3">
      <c r="D938" s="2"/>
    </row>
    <row r="939" spans="4:4" ht="15.75" customHeight="1" x14ac:dyDescent="0.3">
      <c r="D939" s="2"/>
    </row>
    <row r="940" spans="4:4" ht="15.75" customHeight="1" x14ac:dyDescent="0.3">
      <c r="D940" s="2"/>
    </row>
    <row r="941" spans="4:4" ht="15.75" customHeight="1" x14ac:dyDescent="0.3">
      <c r="D941" s="2"/>
    </row>
    <row r="942" spans="4:4" ht="15.75" customHeight="1" x14ac:dyDescent="0.3">
      <c r="D942" s="2"/>
    </row>
    <row r="943" spans="4:4" ht="15.75" customHeight="1" x14ac:dyDescent="0.3">
      <c r="D943" s="2"/>
    </row>
    <row r="944" spans="4:4" ht="15.75" customHeight="1" x14ac:dyDescent="0.3">
      <c r="D944" s="2"/>
    </row>
    <row r="945" spans="4:4" ht="15.75" customHeight="1" x14ac:dyDescent="0.3">
      <c r="D945" s="2"/>
    </row>
    <row r="946" spans="4:4" ht="15.75" customHeight="1" x14ac:dyDescent="0.3">
      <c r="D946" s="2"/>
    </row>
    <row r="947" spans="4:4" ht="15.75" customHeight="1" x14ac:dyDescent="0.3">
      <c r="D947" s="2"/>
    </row>
    <row r="948" spans="4:4" ht="15.75" customHeight="1" x14ac:dyDescent="0.3">
      <c r="D948" s="2"/>
    </row>
    <row r="949" spans="4:4" ht="15.75" customHeight="1" x14ac:dyDescent="0.3">
      <c r="D949" s="2"/>
    </row>
    <row r="950" spans="4:4" ht="15.75" customHeight="1" x14ac:dyDescent="0.3">
      <c r="D950" s="2"/>
    </row>
    <row r="951" spans="4:4" ht="15.75" customHeight="1" x14ac:dyDescent="0.3">
      <c r="D951" s="2"/>
    </row>
    <row r="952" spans="4:4" ht="15.75" customHeight="1" x14ac:dyDescent="0.3">
      <c r="D952" s="2"/>
    </row>
    <row r="953" spans="4:4" ht="15.75" customHeight="1" x14ac:dyDescent="0.3">
      <c r="D953" s="2"/>
    </row>
    <row r="954" spans="4:4" ht="15.75" customHeight="1" x14ac:dyDescent="0.3">
      <c r="D954" s="2"/>
    </row>
    <row r="955" spans="4:4" ht="15.75" customHeight="1" x14ac:dyDescent="0.3">
      <c r="D955" s="2"/>
    </row>
    <row r="956" spans="4:4" ht="15.75" customHeight="1" x14ac:dyDescent="0.3">
      <c r="D956" s="2"/>
    </row>
    <row r="957" spans="4:4" ht="15.75" customHeight="1" x14ac:dyDescent="0.3">
      <c r="D957" s="2"/>
    </row>
    <row r="958" spans="4:4" ht="15.75" customHeight="1" x14ac:dyDescent="0.3">
      <c r="D958" s="2"/>
    </row>
    <row r="959" spans="4:4" ht="15.75" customHeight="1" x14ac:dyDescent="0.3">
      <c r="D959" s="2"/>
    </row>
    <row r="960" spans="4:4" ht="15.75" customHeight="1" x14ac:dyDescent="0.3">
      <c r="D960" s="2"/>
    </row>
    <row r="961" spans="4:4" ht="15.75" customHeight="1" x14ac:dyDescent="0.3">
      <c r="D961" s="2"/>
    </row>
    <row r="962" spans="4:4" ht="15.75" customHeight="1" x14ac:dyDescent="0.3">
      <c r="D962" s="2"/>
    </row>
    <row r="963" spans="4:4" ht="15.75" customHeight="1" x14ac:dyDescent="0.3">
      <c r="D963" s="2"/>
    </row>
    <row r="964" spans="4:4" ht="15.75" customHeight="1" x14ac:dyDescent="0.3">
      <c r="D964" s="2"/>
    </row>
    <row r="965" spans="4:4" ht="15.75" customHeight="1" x14ac:dyDescent="0.3">
      <c r="D965" s="2"/>
    </row>
    <row r="966" spans="4:4" ht="15.75" customHeight="1" x14ac:dyDescent="0.3">
      <c r="D966" s="2"/>
    </row>
    <row r="967" spans="4:4" ht="15.75" customHeight="1" x14ac:dyDescent="0.3">
      <c r="D967" s="2"/>
    </row>
    <row r="968" spans="4:4" ht="15.75" customHeight="1" x14ac:dyDescent="0.3">
      <c r="D968" s="2"/>
    </row>
    <row r="969" spans="4:4" ht="15.75" customHeight="1" x14ac:dyDescent="0.3">
      <c r="D969" s="2"/>
    </row>
    <row r="970" spans="4:4" ht="15.75" customHeight="1" x14ac:dyDescent="0.3">
      <c r="D970" s="2"/>
    </row>
    <row r="971" spans="4:4" ht="15.75" customHeight="1" x14ac:dyDescent="0.3">
      <c r="D971" s="2"/>
    </row>
    <row r="972" spans="4:4" ht="15.75" customHeight="1" x14ac:dyDescent="0.3">
      <c r="D972" s="2"/>
    </row>
    <row r="973" spans="4:4" ht="15.75" customHeight="1" x14ac:dyDescent="0.3">
      <c r="D973" s="2"/>
    </row>
    <row r="974" spans="4:4" ht="15.75" customHeight="1" x14ac:dyDescent="0.3">
      <c r="D974" s="2"/>
    </row>
    <row r="975" spans="4:4" ht="15.75" customHeight="1" x14ac:dyDescent="0.3">
      <c r="D975" s="2"/>
    </row>
    <row r="976" spans="4:4" ht="15.75" customHeight="1" x14ac:dyDescent="0.3">
      <c r="D976" s="2"/>
    </row>
    <row r="977" spans="4:4" ht="15.75" customHeight="1" x14ac:dyDescent="0.3">
      <c r="D977" s="2"/>
    </row>
    <row r="978" spans="4:4" ht="15.75" customHeight="1" x14ac:dyDescent="0.3">
      <c r="D978" s="2"/>
    </row>
    <row r="979" spans="4:4" ht="15.75" customHeight="1" x14ac:dyDescent="0.3">
      <c r="D979" s="2"/>
    </row>
    <row r="980" spans="4:4" ht="15.75" customHeight="1" x14ac:dyDescent="0.3">
      <c r="D980" s="2"/>
    </row>
    <row r="981" spans="4:4" ht="15.75" customHeight="1" x14ac:dyDescent="0.3">
      <c r="D981" s="2"/>
    </row>
    <row r="982" spans="4:4" ht="15.75" customHeight="1" x14ac:dyDescent="0.3">
      <c r="D982" s="2"/>
    </row>
    <row r="983" spans="4:4" ht="15.75" customHeight="1" x14ac:dyDescent="0.3">
      <c r="D983" s="2"/>
    </row>
    <row r="984" spans="4:4" ht="15.75" customHeight="1" x14ac:dyDescent="0.3">
      <c r="D984" s="2"/>
    </row>
    <row r="985" spans="4:4" ht="15.75" customHeight="1" x14ac:dyDescent="0.3">
      <c r="D985" s="2"/>
    </row>
    <row r="986" spans="4:4" ht="15.75" customHeight="1" x14ac:dyDescent="0.3">
      <c r="D986" s="2"/>
    </row>
    <row r="987" spans="4:4" ht="15.75" customHeight="1" x14ac:dyDescent="0.3">
      <c r="D987" s="2"/>
    </row>
    <row r="988" spans="4:4" ht="15.75" customHeight="1" x14ac:dyDescent="0.3">
      <c r="D988" s="2"/>
    </row>
    <row r="989" spans="4:4" ht="15.75" customHeight="1" x14ac:dyDescent="0.3">
      <c r="D989" s="2"/>
    </row>
    <row r="990" spans="4:4" ht="15.75" customHeight="1" x14ac:dyDescent="0.3">
      <c r="D990" s="2"/>
    </row>
    <row r="991" spans="4:4" ht="15.75" customHeight="1" x14ac:dyDescent="0.3">
      <c r="D991" s="2"/>
    </row>
    <row r="992" spans="4:4" ht="15.75" customHeight="1" x14ac:dyDescent="0.3">
      <c r="D992" s="2"/>
    </row>
    <row r="993" spans="4:4" ht="15.75" customHeight="1" x14ac:dyDescent="0.3">
      <c r="D993" s="2"/>
    </row>
    <row r="994" spans="4:4" ht="15.75" customHeight="1" x14ac:dyDescent="0.3">
      <c r="D994" s="2"/>
    </row>
    <row r="995" spans="4:4" ht="15.75" customHeight="1" x14ac:dyDescent="0.3">
      <c r="D995" s="2"/>
    </row>
    <row r="996" spans="4:4" ht="15.75" customHeight="1" x14ac:dyDescent="0.3">
      <c r="D996" s="2"/>
    </row>
    <row r="997" spans="4:4" ht="15.75" customHeight="1" x14ac:dyDescent="0.3">
      <c r="D997" s="2"/>
    </row>
    <row r="998" spans="4:4" ht="15.75" customHeight="1" x14ac:dyDescent="0.3">
      <c r="D998" s="2"/>
    </row>
    <row r="999" spans="4:4" ht="15.75" customHeight="1" x14ac:dyDescent="0.3">
      <c r="D999" s="2"/>
    </row>
    <row r="1000" spans="4:4" ht="15.75" customHeight="1" x14ac:dyDescent="0.3">
      <c r="D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I14" sqref="I14"/>
    </sheetView>
  </sheetViews>
  <sheetFormatPr baseColWidth="10" defaultColWidth="14.44140625" defaultRowHeight="15" customHeight="1" x14ac:dyDescent="0.3"/>
  <cols>
    <col min="1" max="1" width="16.44140625" customWidth="1"/>
    <col min="2" max="2" width="29.44140625" customWidth="1"/>
    <col min="3" max="3" width="15.88671875" customWidth="1"/>
    <col min="4" max="4" width="18.5546875" customWidth="1"/>
    <col min="5" max="25" width="8.6640625" customWidth="1"/>
  </cols>
  <sheetData>
    <row r="1" spans="1:5" ht="14.4" x14ac:dyDescent="0.3">
      <c r="A1" s="1" t="s">
        <v>872</v>
      </c>
      <c r="B1" s="1" t="s">
        <v>873</v>
      </c>
      <c r="C1" s="1" t="s">
        <v>874</v>
      </c>
      <c r="D1" s="1" t="s">
        <v>875</v>
      </c>
      <c r="E1" t="s">
        <v>968</v>
      </c>
    </row>
    <row r="2" spans="1:5" ht="14.4" x14ac:dyDescent="0.3">
      <c r="A2" s="1">
        <v>1</v>
      </c>
      <c r="B2" s="3" t="s">
        <v>876</v>
      </c>
      <c r="C2" s="3" t="s">
        <v>877</v>
      </c>
      <c r="D2" s="3">
        <v>1.5</v>
      </c>
      <c r="E2">
        <v>24</v>
      </c>
    </row>
    <row r="3" spans="1:5" ht="14.4" x14ac:dyDescent="0.3">
      <c r="A3" s="1">
        <v>2</v>
      </c>
      <c r="B3" s="3" t="s">
        <v>878</v>
      </c>
      <c r="C3" s="3" t="s">
        <v>877</v>
      </c>
      <c r="D3" s="3">
        <v>1.75</v>
      </c>
      <c r="E3">
        <v>216</v>
      </c>
    </row>
    <row r="4" spans="1:5" ht="14.4" x14ac:dyDescent="0.3">
      <c r="A4" s="1">
        <v>3</v>
      </c>
      <c r="B4" s="3" t="s">
        <v>879</v>
      </c>
      <c r="C4" s="3" t="s">
        <v>880</v>
      </c>
      <c r="D4" s="3">
        <v>1.5</v>
      </c>
      <c r="E4">
        <v>2</v>
      </c>
    </row>
    <row r="5" spans="1:5" ht="14.4" x14ac:dyDescent="0.3">
      <c r="A5" s="1">
        <v>4</v>
      </c>
      <c r="B5" s="3" t="s">
        <v>881</v>
      </c>
      <c r="C5" s="3" t="s">
        <v>880</v>
      </c>
      <c r="D5" s="3">
        <v>1.5</v>
      </c>
      <c r="E5">
        <v>139</v>
      </c>
    </row>
    <row r="6" spans="1:5" ht="14.4" x14ac:dyDescent="0.3">
      <c r="A6" s="1">
        <v>5</v>
      </c>
      <c r="B6" s="3" t="s">
        <v>882</v>
      </c>
      <c r="C6" s="3" t="s">
        <v>883</v>
      </c>
      <c r="D6" s="3">
        <v>0.75</v>
      </c>
      <c r="E6">
        <v>246</v>
      </c>
    </row>
    <row r="7" spans="1:5" ht="14.4" x14ac:dyDescent="0.3">
      <c r="A7" s="3">
        <v>6</v>
      </c>
      <c r="B7" s="3" t="s">
        <v>884</v>
      </c>
      <c r="C7" s="3" t="s">
        <v>883</v>
      </c>
      <c r="D7" s="3">
        <v>1</v>
      </c>
      <c r="E7">
        <v>117</v>
      </c>
    </row>
    <row r="8" spans="1:5" ht="14.4" x14ac:dyDescent="0.3">
      <c r="A8" s="3">
        <v>7</v>
      </c>
      <c r="B8" s="3" t="s">
        <v>885</v>
      </c>
      <c r="C8" s="3" t="s">
        <v>886</v>
      </c>
      <c r="D8" s="3">
        <v>0.25</v>
      </c>
      <c r="E8">
        <v>193</v>
      </c>
    </row>
    <row r="9" spans="1:5" ht="14.4" x14ac:dyDescent="0.3">
      <c r="A9" s="4">
        <v>8</v>
      </c>
      <c r="B9" s="5" t="s">
        <v>887</v>
      </c>
      <c r="C9" s="5" t="s">
        <v>880</v>
      </c>
      <c r="D9" s="4">
        <v>1.5</v>
      </c>
      <c r="E9">
        <v>89</v>
      </c>
    </row>
    <row r="10" spans="1:5" ht="14.4" x14ac:dyDescent="0.3">
      <c r="A10" s="4">
        <v>9</v>
      </c>
      <c r="B10" s="5" t="s">
        <v>888</v>
      </c>
      <c r="C10" s="5" t="s">
        <v>880</v>
      </c>
      <c r="D10" s="4">
        <v>1.7</v>
      </c>
      <c r="E10">
        <v>178</v>
      </c>
    </row>
    <row r="11" spans="1:5" ht="14.4" x14ac:dyDescent="0.3">
      <c r="A11" s="4">
        <v>10</v>
      </c>
      <c r="B11" s="5" t="s">
        <v>889</v>
      </c>
      <c r="C11" s="5" t="s">
        <v>880</v>
      </c>
      <c r="D11" s="4">
        <v>1.75</v>
      </c>
      <c r="E11">
        <v>62</v>
      </c>
    </row>
    <row r="12" spans="1:5" ht="14.4" x14ac:dyDescent="0.3">
      <c r="A12" s="4">
        <v>11</v>
      </c>
      <c r="B12" s="5" t="s">
        <v>882</v>
      </c>
      <c r="C12" s="5" t="s">
        <v>883</v>
      </c>
      <c r="D12" s="4">
        <v>0.75</v>
      </c>
      <c r="E12">
        <v>236</v>
      </c>
    </row>
    <row r="13" spans="1:5" ht="14.4" x14ac:dyDescent="0.3">
      <c r="A13" s="4">
        <v>12</v>
      </c>
      <c r="B13" s="5" t="s">
        <v>890</v>
      </c>
      <c r="C13" s="5" t="s">
        <v>883</v>
      </c>
      <c r="D13" s="4">
        <v>1</v>
      </c>
      <c r="E13">
        <v>26</v>
      </c>
    </row>
    <row r="14" spans="1:5" ht="14.4" x14ac:dyDescent="0.3">
      <c r="A14" s="4">
        <v>13</v>
      </c>
      <c r="B14" s="5" t="s">
        <v>891</v>
      </c>
      <c r="C14" s="5" t="s">
        <v>883</v>
      </c>
      <c r="D14" s="4">
        <v>0.9</v>
      </c>
      <c r="E14">
        <v>30</v>
      </c>
    </row>
    <row r="15" spans="1:5" ht="14.4" x14ac:dyDescent="0.3">
      <c r="A15" s="4">
        <v>14</v>
      </c>
      <c r="B15" s="5" t="s">
        <v>892</v>
      </c>
      <c r="C15" s="5" t="s">
        <v>883</v>
      </c>
      <c r="D15" s="4">
        <v>0.85</v>
      </c>
      <c r="E15">
        <v>252</v>
      </c>
    </row>
    <row r="16" spans="1:5" ht="14.4" x14ac:dyDescent="0.3">
      <c r="A16" s="4">
        <v>15</v>
      </c>
      <c r="B16" s="5" t="s">
        <v>893</v>
      </c>
      <c r="C16" s="5" t="s">
        <v>883</v>
      </c>
      <c r="D16" s="4">
        <v>0.95</v>
      </c>
      <c r="E16">
        <v>145</v>
      </c>
    </row>
    <row r="17" spans="1:5" ht="14.4" x14ac:dyDescent="0.3">
      <c r="A17" s="4">
        <v>16</v>
      </c>
      <c r="B17" s="5" t="s">
        <v>894</v>
      </c>
      <c r="C17" s="5" t="s">
        <v>886</v>
      </c>
      <c r="D17" s="4">
        <v>0.25</v>
      </c>
      <c r="E17">
        <v>77</v>
      </c>
    </row>
    <row r="18" spans="1:5" ht="14.4" x14ac:dyDescent="0.3">
      <c r="A18" s="4">
        <v>17</v>
      </c>
      <c r="B18" s="5" t="s">
        <v>895</v>
      </c>
      <c r="C18" s="5" t="s">
        <v>886</v>
      </c>
      <c r="D18" s="4">
        <v>0.25</v>
      </c>
      <c r="E18">
        <v>259</v>
      </c>
    </row>
    <row r="19" spans="1:5" ht="14.4" x14ac:dyDescent="0.3">
      <c r="A19" s="4">
        <v>18</v>
      </c>
      <c r="B19" s="5" t="s">
        <v>896</v>
      </c>
      <c r="C19" s="5" t="s">
        <v>886</v>
      </c>
      <c r="D19" s="4">
        <v>0.3</v>
      </c>
      <c r="E19">
        <v>20</v>
      </c>
    </row>
    <row r="20" spans="1:5" ht="14.4" x14ac:dyDescent="0.3">
      <c r="A20" s="4">
        <v>19</v>
      </c>
      <c r="B20" s="5" t="s">
        <v>897</v>
      </c>
      <c r="C20" s="5" t="s">
        <v>886</v>
      </c>
      <c r="D20" s="4">
        <v>0.35</v>
      </c>
      <c r="E20">
        <v>204</v>
      </c>
    </row>
    <row r="21" spans="1:5" ht="15.75" customHeight="1" x14ac:dyDescent="0.3">
      <c r="A21" s="4">
        <v>20</v>
      </c>
      <c r="B21" s="5" t="s">
        <v>898</v>
      </c>
      <c r="C21" s="5" t="s">
        <v>886</v>
      </c>
      <c r="D21" s="4">
        <v>0.3</v>
      </c>
      <c r="E21">
        <v>11</v>
      </c>
    </row>
    <row r="22" spans="1:5" ht="15.75" customHeight="1" x14ac:dyDescent="0.3">
      <c r="A22" s="4">
        <v>21</v>
      </c>
      <c r="B22" s="5" t="s">
        <v>899</v>
      </c>
      <c r="C22" s="5" t="s">
        <v>900</v>
      </c>
      <c r="D22" s="4">
        <v>1.4</v>
      </c>
      <c r="E22">
        <v>294</v>
      </c>
    </row>
    <row r="23" spans="1:5" ht="15.75" customHeight="1" x14ac:dyDescent="0.3">
      <c r="A23" s="4">
        <v>22</v>
      </c>
      <c r="B23" s="5" t="s">
        <v>901</v>
      </c>
      <c r="C23" s="5" t="s">
        <v>900</v>
      </c>
      <c r="D23" s="4">
        <v>1.2</v>
      </c>
      <c r="E23">
        <v>97</v>
      </c>
    </row>
    <row r="24" spans="1:5" ht="15.75" customHeight="1" x14ac:dyDescent="0.3">
      <c r="A24" s="4">
        <v>23</v>
      </c>
      <c r="B24" s="5" t="s">
        <v>902</v>
      </c>
      <c r="C24" s="5" t="s">
        <v>900</v>
      </c>
      <c r="D24" s="4">
        <v>1.3</v>
      </c>
      <c r="E24">
        <v>160</v>
      </c>
    </row>
    <row r="25" spans="1:5" ht="15.75" customHeight="1" x14ac:dyDescent="0.3">
      <c r="A25" s="4">
        <v>24</v>
      </c>
      <c r="B25" s="5" t="s">
        <v>903</v>
      </c>
      <c r="C25" s="5" t="s">
        <v>900</v>
      </c>
      <c r="D25" s="4">
        <v>1.5</v>
      </c>
      <c r="E25">
        <v>115</v>
      </c>
    </row>
    <row r="26" spans="1:5" ht="15.75" customHeight="1" x14ac:dyDescent="0.3">
      <c r="A26" s="4">
        <v>25</v>
      </c>
      <c r="B26" s="5" t="s">
        <v>904</v>
      </c>
      <c r="C26" s="5" t="s">
        <v>900</v>
      </c>
      <c r="D26" s="4">
        <v>1.4</v>
      </c>
      <c r="E26">
        <v>6</v>
      </c>
    </row>
    <row r="27" spans="1:5" ht="15.75" customHeight="1" x14ac:dyDescent="0.3">
      <c r="A27" s="4">
        <v>26</v>
      </c>
      <c r="B27" s="5" t="s">
        <v>905</v>
      </c>
      <c r="C27" s="5" t="s">
        <v>906</v>
      </c>
      <c r="D27" s="4">
        <v>1.1000000000000001</v>
      </c>
      <c r="E27">
        <v>88</v>
      </c>
    </row>
    <row r="28" spans="1:5" ht="15.75" customHeight="1" x14ac:dyDescent="0.3">
      <c r="A28" s="4">
        <v>27</v>
      </c>
      <c r="B28" s="5" t="s">
        <v>907</v>
      </c>
      <c r="C28" s="5" t="s">
        <v>906</v>
      </c>
      <c r="D28" s="4">
        <v>1.3</v>
      </c>
      <c r="E28">
        <v>234</v>
      </c>
    </row>
    <row r="29" spans="1:5" ht="15.75" customHeight="1" x14ac:dyDescent="0.3">
      <c r="A29" s="4">
        <v>28</v>
      </c>
      <c r="B29" s="5" t="s">
        <v>908</v>
      </c>
      <c r="C29" s="5" t="s">
        <v>906</v>
      </c>
      <c r="D29" s="4">
        <v>0.85</v>
      </c>
      <c r="E29">
        <v>91</v>
      </c>
    </row>
    <row r="30" spans="1:5" ht="15.75" customHeight="1" x14ac:dyDescent="0.3">
      <c r="A30" s="4">
        <v>29</v>
      </c>
      <c r="B30" s="5" t="s">
        <v>909</v>
      </c>
      <c r="C30" s="5" t="s">
        <v>906</v>
      </c>
      <c r="D30" s="4">
        <v>1</v>
      </c>
      <c r="E30">
        <v>51</v>
      </c>
    </row>
    <row r="31" spans="1:5" ht="15.75" customHeight="1" x14ac:dyDescent="0.3">
      <c r="A31" s="4">
        <v>30</v>
      </c>
      <c r="B31" s="5" t="s">
        <v>910</v>
      </c>
      <c r="C31" s="5" t="s">
        <v>906</v>
      </c>
      <c r="D31" s="4">
        <v>2.2000000000000002</v>
      </c>
      <c r="E31">
        <v>13</v>
      </c>
    </row>
    <row r="32" spans="1:5" ht="15.75" customHeight="1" x14ac:dyDescent="0.3">
      <c r="A32" s="4">
        <v>31</v>
      </c>
      <c r="B32" s="5" t="s">
        <v>911</v>
      </c>
      <c r="C32" s="5" t="s">
        <v>912</v>
      </c>
      <c r="D32" s="4">
        <v>0.9</v>
      </c>
      <c r="E32">
        <v>81</v>
      </c>
    </row>
    <row r="33" spans="1:5" ht="15.75" customHeight="1" x14ac:dyDescent="0.3">
      <c r="A33" s="4">
        <v>32</v>
      </c>
      <c r="B33" s="5" t="s">
        <v>913</v>
      </c>
      <c r="C33" s="5" t="s">
        <v>912</v>
      </c>
      <c r="D33" s="4">
        <v>1.1000000000000001</v>
      </c>
      <c r="E33">
        <v>203</v>
      </c>
    </row>
    <row r="34" spans="1:5" ht="15.75" customHeight="1" x14ac:dyDescent="0.3">
      <c r="A34" s="4">
        <v>33</v>
      </c>
      <c r="B34" s="5" t="s">
        <v>914</v>
      </c>
      <c r="C34" s="5" t="s">
        <v>912</v>
      </c>
      <c r="D34" s="4">
        <v>1.2</v>
      </c>
      <c r="E34">
        <v>216</v>
      </c>
    </row>
    <row r="35" spans="1:5" ht="15.75" customHeight="1" x14ac:dyDescent="0.3">
      <c r="A35" s="4">
        <v>34</v>
      </c>
      <c r="B35" s="5" t="s">
        <v>915</v>
      </c>
      <c r="C35" s="5" t="s">
        <v>912</v>
      </c>
      <c r="D35" s="4">
        <v>1.25</v>
      </c>
      <c r="E35">
        <v>158</v>
      </c>
    </row>
    <row r="36" spans="1:5" ht="15.75" customHeight="1" x14ac:dyDescent="0.3">
      <c r="A36" s="4">
        <v>35</v>
      </c>
      <c r="B36" s="5" t="s">
        <v>916</v>
      </c>
      <c r="C36" s="5" t="s">
        <v>912</v>
      </c>
      <c r="D36" s="4">
        <v>1.3</v>
      </c>
      <c r="E36">
        <v>172</v>
      </c>
    </row>
    <row r="37" spans="1:5" ht="15.75" customHeight="1" x14ac:dyDescent="0.3">
      <c r="A37" s="4">
        <v>36</v>
      </c>
      <c r="B37" s="5" t="s">
        <v>917</v>
      </c>
      <c r="C37" s="5" t="s">
        <v>918</v>
      </c>
      <c r="D37" s="4">
        <v>1.1000000000000001</v>
      </c>
      <c r="E37">
        <v>282</v>
      </c>
    </row>
    <row r="38" spans="1:5" ht="15.75" customHeight="1" x14ac:dyDescent="0.3">
      <c r="A38" s="4">
        <v>37</v>
      </c>
      <c r="B38" s="5" t="s">
        <v>919</v>
      </c>
      <c r="C38" s="5" t="s">
        <v>918</v>
      </c>
      <c r="D38" s="4">
        <v>1.25</v>
      </c>
      <c r="E38">
        <v>194</v>
      </c>
    </row>
    <row r="39" spans="1:5" ht="15.75" customHeight="1" x14ac:dyDescent="0.3">
      <c r="A39" s="4">
        <v>38</v>
      </c>
      <c r="B39" s="5" t="s">
        <v>920</v>
      </c>
      <c r="C39" s="5" t="s">
        <v>918</v>
      </c>
      <c r="D39" s="4">
        <v>2.1</v>
      </c>
      <c r="E39">
        <v>36</v>
      </c>
    </row>
    <row r="40" spans="1:5" ht="15.75" customHeight="1" x14ac:dyDescent="0.3">
      <c r="A40" s="4">
        <v>39</v>
      </c>
      <c r="B40" s="5" t="s">
        <v>921</v>
      </c>
      <c r="C40" s="5" t="s">
        <v>918</v>
      </c>
      <c r="D40" s="4">
        <v>2.1</v>
      </c>
      <c r="E40">
        <v>30</v>
      </c>
    </row>
    <row r="41" spans="1:5" ht="15.75" customHeight="1" x14ac:dyDescent="0.3">
      <c r="A41" s="4">
        <v>40</v>
      </c>
      <c r="B41" s="5" t="s">
        <v>922</v>
      </c>
      <c r="C41" s="5" t="s">
        <v>918</v>
      </c>
      <c r="D41" s="4">
        <v>1.9</v>
      </c>
      <c r="E41">
        <v>106</v>
      </c>
    </row>
    <row r="42" spans="1:5" ht="15.75" customHeight="1" x14ac:dyDescent="0.3">
      <c r="A42" s="4">
        <v>41</v>
      </c>
      <c r="B42" s="5" t="s">
        <v>923</v>
      </c>
      <c r="C42" s="5" t="s">
        <v>924</v>
      </c>
      <c r="D42" s="4">
        <v>2.4</v>
      </c>
      <c r="E42">
        <v>168</v>
      </c>
    </row>
    <row r="43" spans="1:5" ht="15.75" customHeight="1" x14ac:dyDescent="0.3">
      <c r="A43" s="4">
        <v>42</v>
      </c>
      <c r="B43" s="5" t="s">
        <v>925</v>
      </c>
      <c r="C43" s="5" t="s">
        <v>924</v>
      </c>
      <c r="D43" s="4">
        <v>2.6</v>
      </c>
      <c r="E43">
        <v>32</v>
      </c>
    </row>
    <row r="44" spans="1:5" ht="15.75" customHeight="1" x14ac:dyDescent="0.3">
      <c r="A44" s="4">
        <v>43</v>
      </c>
      <c r="B44" s="5" t="s">
        <v>926</v>
      </c>
      <c r="C44" s="5" t="s">
        <v>924</v>
      </c>
      <c r="D44" s="4">
        <v>4.5</v>
      </c>
      <c r="E44">
        <v>128</v>
      </c>
    </row>
    <row r="45" spans="1:5" ht="15.75" customHeight="1" x14ac:dyDescent="0.3">
      <c r="A45" s="4">
        <v>44</v>
      </c>
      <c r="B45" s="5" t="s">
        <v>927</v>
      </c>
      <c r="C45" s="5" t="s">
        <v>924</v>
      </c>
      <c r="D45" s="4">
        <v>3.2</v>
      </c>
      <c r="E45">
        <v>260</v>
      </c>
    </row>
    <row r="46" spans="1:5" ht="15.75" customHeight="1" x14ac:dyDescent="0.3">
      <c r="A46" s="4">
        <v>45</v>
      </c>
      <c r="B46" s="5" t="s">
        <v>928</v>
      </c>
      <c r="C46" s="5" t="s">
        <v>929</v>
      </c>
      <c r="D46" s="4">
        <v>0.95</v>
      </c>
      <c r="E46">
        <v>178</v>
      </c>
    </row>
    <row r="47" spans="1:5" ht="15.75" customHeight="1" x14ac:dyDescent="0.3">
      <c r="A47" s="4">
        <v>46</v>
      </c>
      <c r="B47" s="5" t="s">
        <v>930</v>
      </c>
      <c r="C47" s="5" t="s">
        <v>931</v>
      </c>
      <c r="D47" s="4">
        <v>1.1000000000000001</v>
      </c>
      <c r="E47">
        <v>170</v>
      </c>
    </row>
    <row r="48" spans="1:5" ht="15.75" customHeight="1" x14ac:dyDescent="0.3">
      <c r="A48" s="4">
        <v>47</v>
      </c>
      <c r="B48" s="5" t="s">
        <v>932</v>
      </c>
      <c r="C48" s="5" t="s">
        <v>931</v>
      </c>
      <c r="D48" s="4">
        <v>1.1499999999999999</v>
      </c>
      <c r="E48">
        <v>299</v>
      </c>
    </row>
    <row r="49" spans="1:5" ht="15.75" customHeight="1" x14ac:dyDescent="0.3">
      <c r="A49" s="4">
        <v>48</v>
      </c>
      <c r="B49" s="5" t="s">
        <v>933</v>
      </c>
      <c r="C49" s="5" t="s">
        <v>931</v>
      </c>
      <c r="D49" s="4">
        <v>1.1000000000000001</v>
      </c>
      <c r="E49">
        <v>23</v>
      </c>
    </row>
    <row r="50" spans="1:5" ht="15.75" customHeight="1" x14ac:dyDescent="0.3">
      <c r="A50" s="4">
        <v>49</v>
      </c>
      <c r="B50" s="5" t="s">
        <v>934</v>
      </c>
      <c r="C50" s="5" t="s">
        <v>931</v>
      </c>
      <c r="D50" s="4">
        <v>1.4</v>
      </c>
      <c r="E50">
        <v>75</v>
      </c>
    </row>
    <row r="51" spans="1:5" ht="15.75" customHeight="1" x14ac:dyDescent="0.3">
      <c r="A51" s="4">
        <v>50</v>
      </c>
      <c r="B51" s="5" t="s">
        <v>935</v>
      </c>
      <c r="C51" s="5" t="s">
        <v>931</v>
      </c>
      <c r="D51" s="4">
        <v>1.6</v>
      </c>
      <c r="E51">
        <v>192</v>
      </c>
    </row>
    <row r="52" spans="1:5" ht="15.75" customHeight="1" x14ac:dyDescent="0.3"/>
    <row r="53" spans="1:5" ht="15.75" customHeight="1" x14ac:dyDescent="0.3"/>
    <row r="54" spans="1:5" ht="15.75" customHeight="1" x14ac:dyDescent="0.3"/>
    <row r="55" spans="1:5" ht="15.75" customHeight="1" x14ac:dyDescent="0.3"/>
    <row r="56" spans="1:5" ht="15.75" customHeight="1" x14ac:dyDescent="0.3"/>
    <row r="57" spans="1:5" ht="15.75" customHeight="1" x14ac:dyDescent="0.3"/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9"/>
  <sheetViews>
    <sheetView tabSelected="1" topLeftCell="A520" workbookViewId="0">
      <selection activeCell="H485" sqref="H485:H495"/>
    </sheetView>
  </sheetViews>
  <sheetFormatPr baseColWidth="10" defaultColWidth="14.44140625" defaultRowHeight="15" customHeight="1" x14ac:dyDescent="0.3"/>
  <cols>
    <col min="1" max="1" width="8.6640625" customWidth="1"/>
    <col min="2" max="2" width="12.33203125" customWidth="1"/>
    <col min="3" max="3" width="9.44140625" customWidth="1"/>
    <col min="4" max="4" width="11.5546875" customWidth="1"/>
    <col min="5" max="5" width="12" customWidth="1"/>
    <col min="6" max="6" width="16.5546875" customWidth="1"/>
    <col min="7" max="7" width="18.33203125" customWidth="1"/>
    <col min="8" max="8" width="15.88671875" customWidth="1"/>
    <col min="9" max="26" width="8.6640625" customWidth="1"/>
  </cols>
  <sheetData>
    <row r="1" spans="1:8" ht="14.4" x14ac:dyDescent="0.3">
      <c r="A1" s="1" t="s">
        <v>936</v>
      </c>
      <c r="B1" s="1" t="s">
        <v>937</v>
      </c>
      <c r="C1" s="1" t="s">
        <v>0</v>
      </c>
      <c r="D1" s="1" t="s">
        <v>872</v>
      </c>
      <c r="E1" s="1" t="s">
        <v>938</v>
      </c>
      <c r="F1" s="1" t="s">
        <v>939</v>
      </c>
      <c r="G1" s="1" t="s">
        <v>940</v>
      </c>
      <c r="H1" t="s">
        <v>969</v>
      </c>
    </row>
    <row r="2" spans="1:8" ht="14.4" x14ac:dyDescent="0.3">
      <c r="A2" s="1">
        <v>1</v>
      </c>
      <c r="B2" s="1" t="s">
        <v>941</v>
      </c>
      <c r="C2" s="1">
        <v>1</v>
      </c>
      <c r="D2" s="1">
        <v>2</v>
      </c>
      <c r="E2" s="1">
        <v>1</v>
      </c>
      <c r="F2" s="1">
        <v>450</v>
      </c>
      <c r="G2" s="1">
        <v>450</v>
      </c>
      <c r="H2" t="s">
        <v>970</v>
      </c>
    </row>
    <row r="3" spans="1:8" ht="14.4" x14ac:dyDescent="0.3">
      <c r="A3" s="1">
        <v>2</v>
      </c>
      <c r="B3" s="1" t="s">
        <v>942</v>
      </c>
      <c r="C3" s="1">
        <v>2</v>
      </c>
      <c r="D3" s="1">
        <v>1</v>
      </c>
      <c r="E3" s="1">
        <v>1</v>
      </c>
      <c r="F3" s="1">
        <v>1200</v>
      </c>
      <c r="G3" s="1">
        <v>1200</v>
      </c>
      <c r="H3" t="s">
        <v>971</v>
      </c>
    </row>
    <row r="4" spans="1:8" ht="14.4" x14ac:dyDescent="0.3">
      <c r="A4" s="1">
        <v>3</v>
      </c>
      <c r="B4" s="1" t="s">
        <v>943</v>
      </c>
      <c r="C4" s="1">
        <v>3</v>
      </c>
      <c r="D4" s="1">
        <v>3</v>
      </c>
      <c r="E4" s="1">
        <v>2</v>
      </c>
      <c r="F4" s="1">
        <v>300</v>
      </c>
      <c r="G4" s="1">
        <v>600</v>
      </c>
      <c r="H4" t="s">
        <v>970</v>
      </c>
    </row>
    <row r="5" spans="1:8" ht="14.4" x14ac:dyDescent="0.3">
      <c r="A5" s="1">
        <v>4</v>
      </c>
      <c r="B5" s="1" t="s">
        <v>944</v>
      </c>
      <c r="C5" s="1">
        <v>4</v>
      </c>
      <c r="D5" s="1">
        <v>4</v>
      </c>
      <c r="E5" s="1">
        <v>1</v>
      </c>
      <c r="F5" s="1">
        <v>600</v>
      </c>
      <c r="G5" s="1">
        <v>600</v>
      </c>
      <c r="H5" t="s">
        <v>970</v>
      </c>
    </row>
    <row r="6" spans="1:8" ht="14.4" x14ac:dyDescent="0.3">
      <c r="A6" s="1">
        <v>5</v>
      </c>
      <c r="B6" s="1" t="s">
        <v>945</v>
      </c>
      <c r="C6" s="1">
        <v>1</v>
      </c>
      <c r="D6" s="1">
        <v>5</v>
      </c>
      <c r="E6" s="1">
        <v>3</v>
      </c>
      <c r="F6" s="1">
        <v>120</v>
      </c>
      <c r="G6" s="1">
        <v>360</v>
      </c>
      <c r="H6" t="s">
        <v>971</v>
      </c>
    </row>
    <row r="7" spans="1:8" ht="14.4" x14ac:dyDescent="0.3">
      <c r="A7" s="1">
        <v>6</v>
      </c>
      <c r="B7" s="1" t="s">
        <v>946</v>
      </c>
      <c r="C7" s="1">
        <v>2</v>
      </c>
      <c r="D7" s="1">
        <v>2</v>
      </c>
      <c r="E7" s="1">
        <v>2</v>
      </c>
      <c r="F7" s="1">
        <v>450</v>
      </c>
      <c r="G7" s="1">
        <v>900</v>
      </c>
      <c r="H7" t="s">
        <v>970</v>
      </c>
    </row>
    <row r="8" spans="1:8" ht="14.4" x14ac:dyDescent="0.3">
      <c r="A8" s="1">
        <v>7</v>
      </c>
      <c r="B8" s="1" t="s">
        <v>947</v>
      </c>
      <c r="C8" s="1">
        <v>5</v>
      </c>
      <c r="D8" s="1">
        <v>1</v>
      </c>
      <c r="E8" s="1">
        <v>1</v>
      </c>
      <c r="F8" s="1">
        <v>1200</v>
      </c>
      <c r="G8" s="1">
        <v>1200</v>
      </c>
      <c r="H8" t="s">
        <v>970</v>
      </c>
    </row>
    <row r="9" spans="1:8" ht="14.4" x14ac:dyDescent="0.3">
      <c r="A9" s="1">
        <v>8</v>
      </c>
      <c r="B9" s="1" t="s">
        <v>948</v>
      </c>
      <c r="C9" s="1">
        <v>3</v>
      </c>
      <c r="D9" s="1">
        <v>4</v>
      </c>
      <c r="E9" s="1">
        <v>1</v>
      </c>
      <c r="F9" s="1">
        <v>600</v>
      </c>
      <c r="G9" s="1">
        <v>600</v>
      </c>
      <c r="H9" t="s">
        <v>971</v>
      </c>
    </row>
    <row r="10" spans="1:8" ht="14.4" x14ac:dyDescent="0.3">
      <c r="A10" s="1">
        <v>9</v>
      </c>
      <c r="B10" s="1" t="s">
        <v>949</v>
      </c>
      <c r="C10" s="1">
        <v>4</v>
      </c>
      <c r="D10" s="1">
        <v>3</v>
      </c>
      <c r="E10" s="1">
        <v>2</v>
      </c>
      <c r="F10" s="1">
        <v>300</v>
      </c>
      <c r="G10" s="1">
        <v>600</v>
      </c>
      <c r="H10" t="s">
        <v>970</v>
      </c>
    </row>
    <row r="11" spans="1:8" ht="14.4" x14ac:dyDescent="0.3">
      <c r="A11" s="1">
        <v>10</v>
      </c>
      <c r="B11" s="1" t="s">
        <v>950</v>
      </c>
      <c r="C11" s="1">
        <v>1</v>
      </c>
      <c r="D11" s="1">
        <v>2</v>
      </c>
      <c r="E11" s="1">
        <v>1</v>
      </c>
      <c r="F11" s="1">
        <v>450</v>
      </c>
      <c r="G11" s="1">
        <v>450</v>
      </c>
      <c r="H11" t="s">
        <v>970</v>
      </c>
    </row>
    <row r="12" spans="1:8" ht="14.4" x14ac:dyDescent="0.3">
      <c r="A12" s="7">
        <v>11</v>
      </c>
      <c r="B12" s="8">
        <v>46099</v>
      </c>
      <c r="C12" s="7">
        <v>6</v>
      </c>
      <c r="D12" s="7">
        <v>6</v>
      </c>
      <c r="E12" s="7">
        <v>10</v>
      </c>
      <c r="F12" s="7">
        <v>5</v>
      </c>
      <c r="G12" s="7">
        <v>50</v>
      </c>
      <c r="H12" t="s">
        <v>971</v>
      </c>
    </row>
    <row r="13" spans="1:8" ht="14.4" x14ac:dyDescent="0.3">
      <c r="A13" s="3">
        <v>12</v>
      </c>
      <c r="B13" s="9">
        <v>46037</v>
      </c>
      <c r="C13" s="4">
        <v>2</v>
      </c>
      <c r="D13" s="4">
        <v>48</v>
      </c>
      <c r="E13" s="4">
        <v>5</v>
      </c>
      <c r="F13" s="4">
        <v>1.1000000000000001</v>
      </c>
      <c r="G13" s="4">
        <v>5.5</v>
      </c>
      <c r="H13" t="s">
        <v>971</v>
      </c>
    </row>
    <row r="14" spans="1:8" ht="14.4" x14ac:dyDescent="0.3">
      <c r="A14" s="3">
        <v>13</v>
      </c>
      <c r="B14" s="9">
        <v>46027</v>
      </c>
      <c r="C14" s="4">
        <v>2</v>
      </c>
      <c r="D14" s="4">
        <v>6</v>
      </c>
      <c r="E14" s="4">
        <v>4</v>
      </c>
      <c r="F14" s="4">
        <v>1.5</v>
      </c>
      <c r="G14" s="4">
        <v>6</v>
      </c>
      <c r="H14" t="s">
        <v>971</v>
      </c>
    </row>
    <row r="15" spans="1:8" ht="14.4" x14ac:dyDescent="0.3">
      <c r="A15" s="3">
        <v>14</v>
      </c>
      <c r="B15" s="9">
        <v>46052</v>
      </c>
      <c r="C15" s="4">
        <v>33</v>
      </c>
      <c r="D15" s="4">
        <v>39</v>
      </c>
      <c r="E15" s="4">
        <v>1</v>
      </c>
      <c r="F15" s="4">
        <v>2.1</v>
      </c>
      <c r="G15" s="4">
        <v>2.1</v>
      </c>
      <c r="H15" t="s">
        <v>970</v>
      </c>
    </row>
    <row r="16" spans="1:8" ht="14.4" x14ac:dyDescent="0.3">
      <c r="A16" s="3">
        <v>15</v>
      </c>
      <c r="B16" s="9">
        <v>46092</v>
      </c>
      <c r="C16" s="4">
        <v>27</v>
      </c>
      <c r="D16" s="4">
        <v>15</v>
      </c>
      <c r="E16" s="4">
        <v>10</v>
      </c>
      <c r="F16" s="4">
        <v>0.95</v>
      </c>
      <c r="G16" s="4">
        <v>9.5</v>
      </c>
      <c r="H16" t="s">
        <v>970</v>
      </c>
    </row>
    <row r="17" spans="1:8" ht="15.75" customHeight="1" x14ac:dyDescent="0.3">
      <c r="A17" s="3">
        <v>16</v>
      </c>
      <c r="B17" s="9">
        <v>46067</v>
      </c>
      <c r="C17" s="4">
        <v>15</v>
      </c>
      <c r="D17" s="4">
        <v>17</v>
      </c>
      <c r="E17" s="4">
        <v>1</v>
      </c>
      <c r="F17" s="4">
        <v>0.25</v>
      </c>
      <c r="G17" s="4">
        <v>0.25</v>
      </c>
      <c r="H17" t="s">
        <v>971</v>
      </c>
    </row>
    <row r="18" spans="1:8" ht="15.75" customHeight="1" x14ac:dyDescent="0.3">
      <c r="A18" s="3">
        <v>17</v>
      </c>
      <c r="B18" s="9">
        <v>46081</v>
      </c>
      <c r="C18" s="4">
        <v>35</v>
      </c>
      <c r="D18" s="4">
        <v>8</v>
      </c>
      <c r="E18" s="4">
        <v>8</v>
      </c>
      <c r="F18" s="4">
        <v>1.5</v>
      </c>
      <c r="G18" s="4">
        <v>12</v>
      </c>
      <c r="H18" t="s">
        <v>970</v>
      </c>
    </row>
    <row r="19" spans="1:8" ht="15.75" customHeight="1" x14ac:dyDescent="0.3">
      <c r="A19" s="3">
        <v>18</v>
      </c>
      <c r="B19" s="9">
        <v>46028</v>
      </c>
      <c r="C19" s="4">
        <v>43</v>
      </c>
      <c r="D19" s="4">
        <v>15</v>
      </c>
      <c r="E19" s="4">
        <v>5</v>
      </c>
      <c r="F19" s="4">
        <v>0.95</v>
      </c>
      <c r="G19" s="4">
        <v>4.75</v>
      </c>
      <c r="H19" t="s">
        <v>970</v>
      </c>
    </row>
    <row r="20" spans="1:8" ht="15.75" customHeight="1" x14ac:dyDescent="0.3">
      <c r="A20" s="3">
        <v>19</v>
      </c>
      <c r="B20" s="9">
        <v>46033</v>
      </c>
      <c r="C20" s="4">
        <v>15</v>
      </c>
      <c r="D20" s="4">
        <v>7</v>
      </c>
      <c r="E20" s="4">
        <v>8</v>
      </c>
      <c r="F20" s="4">
        <v>1.5</v>
      </c>
      <c r="G20" s="4">
        <v>12</v>
      </c>
      <c r="H20" t="s">
        <v>971</v>
      </c>
    </row>
    <row r="21" spans="1:8" ht="15.75" customHeight="1" x14ac:dyDescent="0.3">
      <c r="A21" s="3">
        <v>20</v>
      </c>
      <c r="B21" s="9">
        <v>46058</v>
      </c>
      <c r="C21" s="4">
        <v>30</v>
      </c>
      <c r="D21" s="4">
        <v>41</v>
      </c>
      <c r="E21" s="4">
        <v>6</v>
      </c>
      <c r="F21" s="4">
        <v>2.4</v>
      </c>
      <c r="G21" s="4">
        <v>14.4</v>
      </c>
      <c r="H21" t="s">
        <v>970</v>
      </c>
    </row>
    <row r="22" spans="1:8" ht="15.75" customHeight="1" x14ac:dyDescent="0.3">
      <c r="A22" s="3">
        <v>21</v>
      </c>
      <c r="B22" s="9">
        <v>46043</v>
      </c>
      <c r="C22" s="4">
        <v>24</v>
      </c>
      <c r="D22" s="4">
        <v>18</v>
      </c>
      <c r="E22" s="4">
        <v>20</v>
      </c>
      <c r="F22" s="4">
        <v>0.3</v>
      </c>
      <c r="G22" s="4">
        <v>6</v>
      </c>
      <c r="H22" t="s">
        <v>970</v>
      </c>
    </row>
    <row r="23" spans="1:8" ht="15.75" customHeight="1" x14ac:dyDescent="0.3">
      <c r="A23" s="3">
        <v>22</v>
      </c>
      <c r="B23" s="9">
        <v>46094</v>
      </c>
      <c r="C23" s="4">
        <v>15</v>
      </c>
      <c r="D23" s="4">
        <v>44</v>
      </c>
      <c r="E23" s="4">
        <v>6</v>
      </c>
      <c r="F23" s="4">
        <v>3.2</v>
      </c>
      <c r="G23" s="4">
        <v>19.2</v>
      </c>
      <c r="H23" t="s">
        <v>971</v>
      </c>
    </row>
    <row r="24" spans="1:8" ht="15.75" customHeight="1" x14ac:dyDescent="0.3">
      <c r="A24" s="3">
        <v>23</v>
      </c>
      <c r="B24" s="9">
        <v>46030</v>
      </c>
      <c r="C24" s="4">
        <v>15</v>
      </c>
      <c r="D24" s="4">
        <v>3</v>
      </c>
      <c r="E24" s="4">
        <v>6</v>
      </c>
      <c r="F24" s="4">
        <v>1.55</v>
      </c>
      <c r="G24" s="4">
        <v>9.3000000000000007</v>
      </c>
      <c r="H24" t="s">
        <v>970</v>
      </c>
    </row>
    <row r="25" spans="1:8" ht="15.75" customHeight="1" x14ac:dyDescent="0.3">
      <c r="A25" s="3">
        <v>24</v>
      </c>
      <c r="B25" s="9">
        <v>46074</v>
      </c>
      <c r="C25" s="4">
        <v>18</v>
      </c>
      <c r="D25" s="4">
        <v>5</v>
      </c>
      <c r="E25" s="4">
        <v>4</v>
      </c>
      <c r="F25" s="4">
        <v>2.1</v>
      </c>
      <c r="G25" s="4">
        <v>8.4</v>
      </c>
      <c r="H25" t="s">
        <v>970</v>
      </c>
    </row>
    <row r="26" spans="1:8" ht="15.75" customHeight="1" x14ac:dyDescent="0.3">
      <c r="A26" s="3">
        <v>25</v>
      </c>
      <c r="B26" s="9">
        <v>46095</v>
      </c>
      <c r="C26" s="4">
        <v>46</v>
      </c>
      <c r="D26" s="4">
        <v>21</v>
      </c>
      <c r="E26" s="4">
        <v>4</v>
      </c>
      <c r="F26" s="4">
        <v>1.4</v>
      </c>
      <c r="G26" s="4">
        <v>5.6</v>
      </c>
      <c r="H26" t="s">
        <v>971</v>
      </c>
    </row>
    <row r="27" spans="1:8" ht="15.75" customHeight="1" x14ac:dyDescent="0.3">
      <c r="A27" s="3">
        <v>26</v>
      </c>
      <c r="B27" s="9">
        <v>46041</v>
      </c>
      <c r="C27" s="4">
        <v>17</v>
      </c>
      <c r="D27" s="4">
        <v>9</v>
      </c>
      <c r="E27" s="4">
        <v>4</v>
      </c>
      <c r="F27" s="4">
        <v>1.7</v>
      </c>
      <c r="G27" s="4">
        <v>6.8</v>
      </c>
      <c r="H27" t="s">
        <v>971</v>
      </c>
    </row>
    <row r="28" spans="1:8" ht="15.75" customHeight="1" x14ac:dyDescent="0.3">
      <c r="A28" s="3">
        <v>27</v>
      </c>
      <c r="B28" s="9">
        <v>46051</v>
      </c>
      <c r="C28" s="4">
        <v>9</v>
      </c>
      <c r="D28" s="4">
        <v>33</v>
      </c>
      <c r="E28" s="4">
        <v>10</v>
      </c>
      <c r="F28" s="4">
        <v>1.2</v>
      </c>
      <c r="G28" s="4">
        <v>12</v>
      </c>
      <c r="H28" t="s">
        <v>971</v>
      </c>
    </row>
    <row r="29" spans="1:8" ht="15.75" customHeight="1" x14ac:dyDescent="0.3">
      <c r="A29" s="3">
        <v>28</v>
      </c>
      <c r="B29" s="9">
        <v>46034</v>
      </c>
      <c r="C29" s="4">
        <v>49</v>
      </c>
      <c r="D29" s="4">
        <v>4</v>
      </c>
      <c r="E29" s="4">
        <v>2</v>
      </c>
      <c r="F29" s="4">
        <v>1.8</v>
      </c>
      <c r="G29" s="4">
        <v>3.6</v>
      </c>
      <c r="H29" t="s">
        <v>970</v>
      </c>
    </row>
    <row r="30" spans="1:8" ht="15.75" customHeight="1" x14ac:dyDescent="0.3">
      <c r="A30" s="3">
        <v>29</v>
      </c>
      <c r="B30" s="9">
        <v>46042</v>
      </c>
      <c r="C30" s="4">
        <v>41</v>
      </c>
      <c r="D30" s="4">
        <v>11</v>
      </c>
      <c r="E30" s="4">
        <v>20</v>
      </c>
      <c r="F30" s="4">
        <v>0.75</v>
      </c>
      <c r="G30" s="4">
        <v>15</v>
      </c>
      <c r="H30" t="s">
        <v>970</v>
      </c>
    </row>
    <row r="31" spans="1:8" ht="15.75" customHeight="1" x14ac:dyDescent="0.3">
      <c r="A31" s="3">
        <v>30</v>
      </c>
      <c r="B31" s="9">
        <v>46077</v>
      </c>
      <c r="C31" s="4">
        <v>39</v>
      </c>
      <c r="D31" s="4">
        <v>5</v>
      </c>
      <c r="E31" s="4">
        <v>8</v>
      </c>
      <c r="F31" s="4">
        <v>2.1</v>
      </c>
      <c r="G31" s="4">
        <v>16.8</v>
      </c>
      <c r="H31" t="s">
        <v>971</v>
      </c>
    </row>
    <row r="32" spans="1:8" ht="15.75" customHeight="1" x14ac:dyDescent="0.3">
      <c r="A32" s="3">
        <v>31</v>
      </c>
      <c r="B32" s="9">
        <v>46037</v>
      </c>
      <c r="C32" s="4">
        <v>44</v>
      </c>
      <c r="D32" s="4">
        <v>35</v>
      </c>
      <c r="E32" s="4">
        <v>5</v>
      </c>
      <c r="F32" s="4">
        <v>1.3</v>
      </c>
      <c r="G32" s="4">
        <v>6.5</v>
      </c>
      <c r="H32" t="s">
        <v>970</v>
      </c>
    </row>
    <row r="33" spans="1:8" ht="15.75" customHeight="1" x14ac:dyDescent="0.3">
      <c r="A33" s="3">
        <v>32</v>
      </c>
      <c r="B33" s="9">
        <v>46066</v>
      </c>
      <c r="C33" s="4">
        <v>8</v>
      </c>
      <c r="D33" s="4">
        <v>19</v>
      </c>
      <c r="E33" s="4">
        <v>8</v>
      </c>
      <c r="F33" s="4">
        <v>0.35</v>
      </c>
      <c r="G33" s="4">
        <v>2.8</v>
      </c>
      <c r="H33" t="s">
        <v>970</v>
      </c>
    </row>
    <row r="34" spans="1:8" ht="15.75" customHeight="1" x14ac:dyDescent="0.3">
      <c r="A34" s="3">
        <v>33</v>
      </c>
      <c r="B34" s="9">
        <v>46043</v>
      </c>
      <c r="C34" s="4">
        <v>30</v>
      </c>
      <c r="D34" s="4">
        <v>1</v>
      </c>
      <c r="E34" s="4">
        <v>5</v>
      </c>
      <c r="F34" s="4">
        <v>1.5</v>
      </c>
      <c r="G34" s="4">
        <v>7.5</v>
      </c>
      <c r="H34" t="s">
        <v>971</v>
      </c>
    </row>
    <row r="35" spans="1:8" ht="15.75" customHeight="1" x14ac:dyDescent="0.3">
      <c r="A35" s="3">
        <v>34</v>
      </c>
      <c r="B35" s="9">
        <v>46087</v>
      </c>
      <c r="C35" s="4">
        <v>49</v>
      </c>
      <c r="D35" s="4">
        <v>12</v>
      </c>
      <c r="E35" s="4">
        <v>12</v>
      </c>
      <c r="F35" s="4">
        <v>1</v>
      </c>
      <c r="G35" s="4">
        <v>12</v>
      </c>
      <c r="H35" t="s">
        <v>970</v>
      </c>
    </row>
    <row r="36" spans="1:8" ht="15.75" customHeight="1" x14ac:dyDescent="0.3">
      <c r="A36" s="3">
        <v>35</v>
      </c>
      <c r="B36" s="9">
        <v>46036</v>
      </c>
      <c r="C36" s="4">
        <v>41</v>
      </c>
      <c r="D36" s="4">
        <v>20</v>
      </c>
      <c r="E36" s="4">
        <v>20</v>
      </c>
      <c r="F36" s="4">
        <v>0.3</v>
      </c>
      <c r="G36" s="4">
        <v>6</v>
      </c>
      <c r="H36" t="s">
        <v>970</v>
      </c>
    </row>
    <row r="37" spans="1:8" ht="15.75" customHeight="1" x14ac:dyDescent="0.3">
      <c r="A37" s="3">
        <v>36</v>
      </c>
      <c r="B37" s="9">
        <v>46070</v>
      </c>
      <c r="C37" s="4">
        <v>49</v>
      </c>
      <c r="D37" s="4">
        <v>11</v>
      </c>
      <c r="E37" s="4">
        <v>12</v>
      </c>
      <c r="F37" s="4">
        <v>0.75</v>
      </c>
      <c r="G37" s="4">
        <v>9</v>
      </c>
      <c r="H37" t="s">
        <v>971</v>
      </c>
    </row>
    <row r="38" spans="1:8" ht="15.75" customHeight="1" x14ac:dyDescent="0.3">
      <c r="A38" s="3">
        <v>37</v>
      </c>
      <c r="B38" s="9">
        <v>46090</v>
      </c>
      <c r="C38" s="4">
        <v>1</v>
      </c>
      <c r="D38" s="4">
        <v>39</v>
      </c>
      <c r="E38" s="4">
        <v>6</v>
      </c>
      <c r="F38" s="4">
        <v>2.1</v>
      </c>
      <c r="G38" s="4">
        <v>12.6</v>
      </c>
      <c r="H38" t="s">
        <v>970</v>
      </c>
    </row>
    <row r="39" spans="1:8" ht="15.75" customHeight="1" x14ac:dyDescent="0.3">
      <c r="A39" s="3">
        <v>38</v>
      </c>
      <c r="B39" s="9">
        <v>46085</v>
      </c>
      <c r="C39" s="4">
        <v>2</v>
      </c>
      <c r="D39" s="4">
        <v>8</v>
      </c>
      <c r="E39" s="4">
        <v>6</v>
      </c>
      <c r="F39" s="4">
        <v>1.5</v>
      </c>
      <c r="G39" s="4">
        <v>9</v>
      </c>
      <c r="H39" t="s">
        <v>970</v>
      </c>
    </row>
    <row r="40" spans="1:8" ht="15.75" customHeight="1" x14ac:dyDescent="0.3">
      <c r="A40" s="3">
        <v>39</v>
      </c>
      <c r="B40" s="9">
        <v>46062</v>
      </c>
      <c r="C40" s="4">
        <v>16</v>
      </c>
      <c r="D40" s="4">
        <v>4</v>
      </c>
      <c r="E40" s="4">
        <v>4</v>
      </c>
      <c r="F40" s="4">
        <v>1.8</v>
      </c>
      <c r="G40" s="4">
        <v>7.2</v>
      </c>
      <c r="H40" t="s">
        <v>971</v>
      </c>
    </row>
    <row r="41" spans="1:8" ht="15.75" customHeight="1" x14ac:dyDescent="0.3">
      <c r="A41" s="3">
        <v>40</v>
      </c>
      <c r="B41" s="9">
        <v>46095</v>
      </c>
      <c r="C41" s="4">
        <v>6</v>
      </c>
      <c r="D41" s="4">
        <v>6</v>
      </c>
      <c r="E41" s="4">
        <v>10</v>
      </c>
      <c r="F41" s="4">
        <v>1.5</v>
      </c>
      <c r="G41" s="4">
        <v>15</v>
      </c>
      <c r="H41" t="s">
        <v>971</v>
      </c>
    </row>
    <row r="42" spans="1:8" ht="15.75" customHeight="1" x14ac:dyDescent="0.3">
      <c r="A42" s="3">
        <v>41</v>
      </c>
      <c r="B42" s="9">
        <v>46039</v>
      </c>
      <c r="C42" s="4">
        <v>43</v>
      </c>
      <c r="D42" s="4">
        <v>31</v>
      </c>
      <c r="E42" s="4">
        <v>12</v>
      </c>
      <c r="F42" s="4">
        <v>0.9</v>
      </c>
      <c r="G42" s="4">
        <v>10.8</v>
      </c>
      <c r="H42" t="s">
        <v>971</v>
      </c>
    </row>
    <row r="43" spans="1:8" ht="15.75" customHeight="1" x14ac:dyDescent="0.3">
      <c r="A43" s="4">
        <v>42</v>
      </c>
      <c r="B43" s="10">
        <v>46038</v>
      </c>
      <c r="C43" s="4">
        <v>367</v>
      </c>
      <c r="D43" s="4">
        <v>23</v>
      </c>
      <c r="E43" s="4">
        <v>7</v>
      </c>
      <c r="F43" s="4">
        <v>1.3</v>
      </c>
      <c r="G43" s="4">
        <v>9.1</v>
      </c>
      <c r="H43" t="s">
        <v>970</v>
      </c>
    </row>
    <row r="44" spans="1:8" ht="15.75" customHeight="1" x14ac:dyDescent="0.3">
      <c r="A44" s="4">
        <v>43</v>
      </c>
      <c r="B44" s="10">
        <v>46085</v>
      </c>
      <c r="C44" s="4">
        <v>215</v>
      </c>
      <c r="D44" s="4">
        <v>22</v>
      </c>
      <c r="E44" s="4">
        <v>4</v>
      </c>
      <c r="F44" s="4">
        <v>1.2</v>
      </c>
      <c r="G44" s="4">
        <v>4.8</v>
      </c>
      <c r="H44" t="s">
        <v>970</v>
      </c>
    </row>
    <row r="45" spans="1:8" ht="15.75" customHeight="1" x14ac:dyDescent="0.3">
      <c r="A45" s="4">
        <v>44</v>
      </c>
      <c r="B45" s="10">
        <v>46033</v>
      </c>
      <c r="C45" s="4">
        <v>193</v>
      </c>
      <c r="D45" s="4">
        <v>2</v>
      </c>
      <c r="E45" s="4">
        <v>9</v>
      </c>
      <c r="F45" s="4">
        <v>1.75</v>
      </c>
      <c r="G45" s="4">
        <v>15.75</v>
      </c>
      <c r="H45" t="s">
        <v>971</v>
      </c>
    </row>
    <row r="46" spans="1:8" ht="15.75" customHeight="1" x14ac:dyDescent="0.3">
      <c r="A46" s="4">
        <v>45</v>
      </c>
      <c r="B46" s="10">
        <v>46089</v>
      </c>
      <c r="C46" s="4">
        <v>485</v>
      </c>
      <c r="D46" s="4">
        <v>30</v>
      </c>
      <c r="E46" s="4">
        <v>6</v>
      </c>
      <c r="F46" s="4">
        <v>2.2000000000000002</v>
      </c>
      <c r="G46" s="4">
        <v>13.2</v>
      </c>
      <c r="H46" t="s">
        <v>970</v>
      </c>
    </row>
    <row r="47" spans="1:8" ht="15.75" customHeight="1" x14ac:dyDescent="0.3">
      <c r="A47" s="4">
        <v>46</v>
      </c>
      <c r="B47" s="10">
        <v>46076</v>
      </c>
      <c r="C47" s="4">
        <v>353</v>
      </c>
      <c r="D47" s="4">
        <v>23</v>
      </c>
      <c r="E47" s="4">
        <v>5</v>
      </c>
      <c r="F47" s="4">
        <v>1.3</v>
      </c>
      <c r="G47" s="4">
        <v>6.5</v>
      </c>
      <c r="H47" t="s">
        <v>970</v>
      </c>
    </row>
    <row r="48" spans="1:8" ht="15.75" customHeight="1" x14ac:dyDescent="0.3">
      <c r="A48" s="4">
        <v>47</v>
      </c>
      <c r="B48" s="10">
        <v>46031</v>
      </c>
      <c r="C48" s="4">
        <v>211</v>
      </c>
      <c r="D48" s="4">
        <v>36</v>
      </c>
      <c r="E48" s="4">
        <v>7</v>
      </c>
      <c r="F48" s="4">
        <v>1.1000000000000001</v>
      </c>
      <c r="G48" s="4">
        <v>7.7</v>
      </c>
      <c r="H48" t="s">
        <v>971</v>
      </c>
    </row>
    <row r="49" spans="1:8" ht="15.75" customHeight="1" x14ac:dyDescent="0.3">
      <c r="A49" s="4">
        <v>48</v>
      </c>
      <c r="B49" s="10">
        <v>46028</v>
      </c>
      <c r="C49" s="4">
        <v>416</v>
      </c>
      <c r="D49" s="4">
        <v>13</v>
      </c>
      <c r="E49" s="4">
        <v>3</v>
      </c>
      <c r="F49" s="4">
        <v>0.9</v>
      </c>
      <c r="G49" s="4">
        <v>2.7</v>
      </c>
      <c r="H49" t="s">
        <v>970</v>
      </c>
    </row>
    <row r="50" spans="1:8" ht="15.75" customHeight="1" x14ac:dyDescent="0.3">
      <c r="A50" s="4">
        <v>49</v>
      </c>
      <c r="B50" s="10">
        <v>46084</v>
      </c>
      <c r="C50" s="4">
        <v>154</v>
      </c>
      <c r="D50" s="4">
        <v>29</v>
      </c>
      <c r="E50" s="4">
        <v>20</v>
      </c>
      <c r="F50" s="4">
        <v>1</v>
      </c>
      <c r="G50" s="4">
        <v>20</v>
      </c>
      <c r="H50" t="s">
        <v>970</v>
      </c>
    </row>
    <row r="51" spans="1:8" ht="15.75" customHeight="1" x14ac:dyDescent="0.3">
      <c r="A51" s="4">
        <v>50</v>
      </c>
      <c r="B51" s="10">
        <v>46073</v>
      </c>
      <c r="C51" s="4">
        <v>417</v>
      </c>
      <c r="D51" s="4">
        <v>37</v>
      </c>
      <c r="E51" s="4">
        <v>20</v>
      </c>
      <c r="F51" s="4">
        <v>1.25</v>
      </c>
      <c r="G51" s="4">
        <v>25</v>
      </c>
      <c r="H51" t="s">
        <v>971</v>
      </c>
    </row>
    <row r="52" spans="1:8" ht="15.75" customHeight="1" x14ac:dyDescent="0.3">
      <c r="A52" s="4">
        <v>51</v>
      </c>
      <c r="B52" s="10">
        <v>46072</v>
      </c>
      <c r="C52" s="4">
        <v>462</v>
      </c>
      <c r="D52" s="4">
        <v>3</v>
      </c>
      <c r="E52" s="4">
        <v>11</v>
      </c>
      <c r="F52" s="4">
        <v>1.5</v>
      </c>
      <c r="G52" s="4">
        <v>16.5</v>
      </c>
      <c r="H52" t="s">
        <v>970</v>
      </c>
    </row>
    <row r="53" spans="1:8" ht="15.75" customHeight="1" x14ac:dyDescent="0.3">
      <c r="A53" s="4">
        <v>52</v>
      </c>
      <c r="B53" s="10">
        <v>46026</v>
      </c>
      <c r="C53" s="4">
        <v>78</v>
      </c>
      <c r="D53" s="4">
        <v>32</v>
      </c>
      <c r="E53" s="4">
        <v>3</v>
      </c>
      <c r="F53" s="4">
        <v>1.1000000000000001</v>
      </c>
      <c r="G53" s="4">
        <v>3.3</v>
      </c>
      <c r="H53" t="s">
        <v>970</v>
      </c>
    </row>
    <row r="54" spans="1:8" ht="15.75" customHeight="1" x14ac:dyDescent="0.3">
      <c r="A54" s="4">
        <v>53</v>
      </c>
      <c r="B54" s="10">
        <v>46045</v>
      </c>
      <c r="C54" s="4">
        <v>26</v>
      </c>
      <c r="D54" s="4">
        <v>29</v>
      </c>
      <c r="E54" s="4">
        <v>15</v>
      </c>
      <c r="F54" s="4">
        <v>1</v>
      </c>
      <c r="G54" s="4">
        <v>15</v>
      </c>
      <c r="H54" t="s">
        <v>971</v>
      </c>
    </row>
    <row r="55" spans="1:8" ht="15.75" customHeight="1" x14ac:dyDescent="0.3">
      <c r="A55" s="4">
        <v>54</v>
      </c>
      <c r="B55" s="10">
        <v>46038</v>
      </c>
      <c r="C55" s="4">
        <v>148</v>
      </c>
      <c r="D55" s="4">
        <v>6</v>
      </c>
      <c r="E55" s="4">
        <v>20</v>
      </c>
      <c r="F55" s="4">
        <v>1</v>
      </c>
      <c r="G55" s="4">
        <v>20</v>
      </c>
      <c r="H55" t="s">
        <v>971</v>
      </c>
    </row>
    <row r="56" spans="1:8" ht="15.75" customHeight="1" x14ac:dyDescent="0.3">
      <c r="A56" s="4">
        <v>55</v>
      </c>
      <c r="B56" s="10">
        <v>46055</v>
      </c>
      <c r="C56" s="4">
        <v>280</v>
      </c>
      <c r="D56" s="4">
        <v>14</v>
      </c>
      <c r="E56" s="4">
        <v>20</v>
      </c>
      <c r="F56" s="4">
        <v>0.85</v>
      </c>
      <c r="G56" s="4">
        <v>17</v>
      </c>
      <c r="H56" t="s">
        <v>971</v>
      </c>
    </row>
    <row r="57" spans="1:8" ht="15.75" customHeight="1" x14ac:dyDescent="0.3">
      <c r="A57" s="4">
        <v>56</v>
      </c>
      <c r="B57" s="10">
        <v>46100</v>
      </c>
      <c r="C57" s="4">
        <v>434</v>
      </c>
      <c r="D57" s="4">
        <v>49</v>
      </c>
      <c r="E57" s="4">
        <v>3</v>
      </c>
      <c r="F57" s="4">
        <v>1.4</v>
      </c>
      <c r="G57" s="4">
        <v>4.2</v>
      </c>
      <c r="H57" t="s">
        <v>970</v>
      </c>
    </row>
    <row r="58" spans="1:8" ht="15.75" customHeight="1" x14ac:dyDescent="0.3">
      <c r="A58" s="4">
        <v>57</v>
      </c>
      <c r="B58" s="10">
        <v>46042</v>
      </c>
      <c r="C58" s="4">
        <v>361</v>
      </c>
      <c r="D58" s="4">
        <v>31</v>
      </c>
      <c r="E58" s="4">
        <v>18</v>
      </c>
      <c r="F58" s="4">
        <v>0.9</v>
      </c>
      <c r="G58" s="4">
        <v>16.2</v>
      </c>
      <c r="H58" t="s">
        <v>970</v>
      </c>
    </row>
    <row r="59" spans="1:8" ht="15.75" customHeight="1" x14ac:dyDescent="0.3">
      <c r="A59" s="4">
        <v>58</v>
      </c>
      <c r="B59" s="10">
        <v>46076</v>
      </c>
      <c r="C59" s="4">
        <v>334</v>
      </c>
      <c r="D59" s="4">
        <v>50</v>
      </c>
      <c r="E59" s="4">
        <v>1</v>
      </c>
      <c r="F59" s="4">
        <v>1.6</v>
      </c>
      <c r="G59" s="4">
        <v>1.6</v>
      </c>
      <c r="H59" t="s">
        <v>971</v>
      </c>
    </row>
    <row r="60" spans="1:8" ht="15.75" customHeight="1" x14ac:dyDescent="0.3">
      <c r="A60" s="4">
        <v>59</v>
      </c>
      <c r="B60" s="10">
        <v>46058</v>
      </c>
      <c r="C60" s="4">
        <v>465</v>
      </c>
      <c r="D60" s="4">
        <v>22</v>
      </c>
      <c r="E60" s="4">
        <v>6</v>
      </c>
      <c r="F60" s="4">
        <v>1.2</v>
      </c>
      <c r="G60" s="4">
        <v>7.2</v>
      </c>
      <c r="H60" t="s">
        <v>970</v>
      </c>
    </row>
    <row r="61" spans="1:8" ht="15.75" customHeight="1" x14ac:dyDescent="0.3">
      <c r="A61" s="4">
        <v>60</v>
      </c>
      <c r="B61" s="10">
        <v>46078</v>
      </c>
      <c r="C61" s="4">
        <v>199</v>
      </c>
      <c r="D61" s="4">
        <v>3</v>
      </c>
      <c r="E61" s="4">
        <v>9</v>
      </c>
      <c r="F61" s="4">
        <v>1.5</v>
      </c>
      <c r="G61" s="4">
        <v>13.5</v>
      </c>
      <c r="H61" t="s">
        <v>970</v>
      </c>
    </row>
    <row r="62" spans="1:8" ht="15.75" customHeight="1" x14ac:dyDescent="0.3">
      <c r="A62" s="4">
        <v>61</v>
      </c>
      <c r="B62" s="10">
        <v>46091</v>
      </c>
      <c r="C62" s="4">
        <v>50</v>
      </c>
      <c r="D62" s="4">
        <v>24</v>
      </c>
      <c r="E62" s="4">
        <v>10</v>
      </c>
      <c r="F62" s="4">
        <v>1.5</v>
      </c>
      <c r="G62" s="4">
        <v>15</v>
      </c>
      <c r="H62" t="s">
        <v>971</v>
      </c>
    </row>
    <row r="63" spans="1:8" ht="15.75" customHeight="1" x14ac:dyDescent="0.3">
      <c r="A63" s="4">
        <v>62</v>
      </c>
      <c r="B63" s="10">
        <v>46073</v>
      </c>
      <c r="C63" s="4">
        <v>274</v>
      </c>
      <c r="D63" s="4">
        <v>48</v>
      </c>
      <c r="E63" s="4">
        <v>6</v>
      </c>
      <c r="F63" s="4">
        <v>1.1000000000000001</v>
      </c>
      <c r="G63" s="4">
        <v>6.6</v>
      </c>
      <c r="H63" t="s">
        <v>970</v>
      </c>
    </row>
    <row r="64" spans="1:8" ht="15.75" customHeight="1" x14ac:dyDescent="0.3">
      <c r="A64" s="4">
        <v>63</v>
      </c>
      <c r="B64" s="10">
        <v>46110</v>
      </c>
      <c r="C64" s="4">
        <v>342</v>
      </c>
      <c r="D64" s="4">
        <v>5</v>
      </c>
      <c r="E64" s="4">
        <v>20</v>
      </c>
      <c r="F64" s="4">
        <v>0.75</v>
      </c>
      <c r="G64" s="4">
        <v>15</v>
      </c>
      <c r="H64" t="s">
        <v>970</v>
      </c>
    </row>
    <row r="65" spans="1:8" ht="15.75" customHeight="1" x14ac:dyDescent="0.3">
      <c r="A65" s="4">
        <v>64</v>
      </c>
      <c r="B65" s="10">
        <v>46111</v>
      </c>
      <c r="C65" s="4">
        <v>442</v>
      </c>
      <c r="D65" s="4">
        <v>25</v>
      </c>
      <c r="E65" s="4">
        <v>10</v>
      </c>
      <c r="F65" s="4">
        <v>1.4</v>
      </c>
      <c r="G65" s="4">
        <v>14</v>
      </c>
      <c r="H65" t="s">
        <v>971</v>
      </c>
    </row>
    <row r="66" spans="1:8" ht="15.75" customHeight="1" x14ac:dyDescent="0.3">
      <c r="A66" s="4">
        <v>65</v>
      </c>
      <c r="B66" s="10">
        <v>46030</v>
      </c>
      <c r="C66" s="4">
        <v>50</v>
      </c>
      <c r="D66" s="4">
        <v>17</v>
      </c>
      <c r="E66" s="4">
        <v>11</v>
      </c>
      <c r="F66" s="4">
        <v>0.25</v>
      </c>
      <c r="G66" s="4">
        <v>2.75</v>
      </c>
      <c r="H66" t="s">
        <v>970</v>
      </c>
    </row>
    <row r="67" spans="1:8" ht="15.75" customHeight="1" x14ac:dyDescent="0.3">
      <c r="A67" s="4">
        <v>66</v>
      </c>
      <c r="B67" s="10">
        <v>46049</v>
      </c>
      <c r="C67" s="4">
        <v>468</v>
      </c>
      <c r="D67" s="4">
        <v>9</v>
      </c>
      <c r="E67" s="4">
        <v>14</v>
      </c>
      <c r="F67" s="4">
        <v>1.7</v>
      </c>
      <c r="G67" s="4">
        <v>23.8</v>
      </c>
      <c r="H67" t="s">
        <v>970</v>
      </c>
    </row>
    <row r="68" spans="1:8" ht="15.75" customHeight="1" x14ac:dyDescent="0.3">
      <c r="A68" s="4">
        <v>67</v>
      </c>
      <c r="B68" s="10">
        <v>46095</v>
      </c>
      <c r="C68" s="4">
        <v>259</v>
      </c>
      <c r="D68" s="4">
        <v>34</v>
      </c>
      <c r="E68" s="4">
        <v>7</v>
      </c>
      <c r="F68" s="4">
        <v>1.25</v>
      </c>
      <c r="G68" s="4">
        <v>8.75</v>
      </c>
      <c r="H68" t="s">
        <v>971</v>
      </c>
    </row>
    <row r="69" spans="1:8" ht="15.75" customHeight="1" x14ac:dyDescent="0.3">
      <c r="A69" s="4">
        <v>68</v>
      </c>
      <c r="B69" s="10">
        <v>46094</v>
      </c>
      <c r="C69" s="4">
        <v>496</v>
      </c>
      <c r="D69" s="4">
        <v>24</v>
      </c>
      <c r="E69" s="4">
        <v>1</v>
      </c>
      <c r="F69" s="4">
        <v>1.5</v>
      </c>
      <c r="G69" s="4">
        <v>1.5</v>
      </c>
      <c r="H69" t="s">
        <v>971</v>
      </c>
    </row>
    <row r="70" spans="1:8" ht="15.75" customHeight="1" x14ac:dyDescent="0.3">
      <c r="A70" s="4">
        <v>69</v>
      </c>
      <c r="B70" s="10">
        <v>46092</v>
      </c>
      <c r="C70" s="4">
        <v>204</v>
      </c>
      <c r="D70" s="4">
        <v>9</v>
      </c>
      <c r="E70" s="4">
        <v>15</v>
      </c>
      <c r="F70" s="4">
        <v>1.7</v>
      </c>
      <c r="G70" s="4">
        <v>25.5</v>
      </c>
      <c r="H70" t="s">
        <v>971</v>
      </c>
    </row>
    <row r="71" spans="1:8" ht="15.75" customHeight="1" x14ac:dyDescent="0.3">
      <c r="A71" s="4">
        <v>70</v>
      </c>
      <c r="B71" s="10">
        <v>46099</v>
      </c>
      <c r="C71" s="4">
        <v>253</v>
      </c>
      <c r="D71" s="4">
        <v>36</v>
      </c>
      <c r="E71" s="4">
        <v>9</v>
      </c>
      <c r="F71" s="4">
        <v>1.1000000000000001</v>
      </c>
      <c r="G71" s="4">
        <v>9.9</v>
      </c>
      <c r="H71" t="s">
        <v>970</v>
      </c>
    </row>
    <row r="72" spans="1:8" ht="15.75" customHeight="1" x14ac:dyDescent="0.3">
      <c r="A72" s="4">
        <v>71</v>
      </c>
      <c r="B72" s="10">
        <v>46109</v>
      </c>
      <c r="C72" s="4">
        <v>177</v>
      </c>
      <c r="D72" s="4">
        <v>31</v>
      </c>
      <c r="E72" s="4">
        <v>7</v>
      </c>
      <c r="F72" s="4">
        <v>0.9</v>
      </c>
      <c r="G72" s="4">
        <v>6.3</v>
      </c>
      <c r="H72" t="s">
        <v>970</v>
      </c>
    </row>
    <row r="73" spans="1:8" ht="15.75" customHeight="1" x14ac:dyDescent="0.3">
      <c r="A73" s="4">
        <v>72</v>
      </c>
      <c r="B73" s="10">
        <v>46078</v>
      </c>
      <c r="C73" s="4">
        <v>58</v>
      </c>
      <c r="D73" s="4">
        <v>27</v>
      </c>
      <c r="E73" s="4">
        <v>4</v>
      </c>
      <c r="F73" s="4">
        <v>1.3</v>
      </c>
      <c r="G73" s="4">
        <v>5.2</v>
      </c>
      <c r="H73" t="s">
        <v>971</v>
      </c>
    </row>
    <row r="74" spans="1:8" ht="15.75" customHeight="1" x14ac:dyDescent="0.3">
      <c r="A74" s="4">
        <v>73</v>
      </c>
      <c r="B74" s="10">
        <v>46069</v>
      </c>
      <c r="C74" s="4">
        <v>456</v>
      </c>
      <c r="D74" s="4">
        <v>4</v>
      </c>
      <c r="E74" s="4">
        <v>3</v>
      </c>
      <c r="F74" s="4">
        <v>1.5</v>
      </c>
      <c r="G74" s="4">
        <v>4.5</v>
      </c>
      <c r="H74" t="s">
        <v>970</v>
      </c>
    </row>
    <row r="75" spans="1:8" ht="15.75" customHeight="1" x14ac:dyDescent="0.3">
      <c r="A75" s="4">
        <v>74</v>
      </c>
      <c r="B75" s="10">
        <v>46037</v>
      </c>
      <c r="C75" s="4">
        <v>209</v>
      </c>
      <c r="D75" s="4">
        <v>49</v>
      </c>
      <c r="E75" s="4">
        <v>5</v>
      </c>
      <c r="F75" s="4">
        <v>1.4</v>
      </c>
      <c r="G75" s="4">
        <v>7</v>
      </c>
      <c r="H75" t="s">
        <v>970</v>
      </c>
    </row>
    <row r="76" spans="1:8" ht="15.75" customHeight="1" x14ac:dyDescent="0.3">
      <c r="A76" s="4">
        <v>75</v>
      </c>
      <c r="B76" s="10">
        <v>46057</v>
      </c>
      <c r="C76" s="4">
        <v>296</v>
      </c>
      <c r="D76" s="4">
        <v>25</v>
      </c>
      <c r="E76" s="4">
        <v>12</v>
      </c>
      <c r="F76" s="4">
        <v>1.4</v>
      </c>
      <c r="G76" s="4">
        <v>16.8</v>
      </c>
      <c r="H76" t="s">
        <v>971</v>
      </c>
    </row>
    <row r="77" spans="1:8" ht="15.75" customHeight="1" x14ac:dyDescent="0.3">
      <c r="A77" s="4">
        <v>76</v>
      </c>
      <c r="B77" s="10">
        <v>46058</v>
      </c>
      <c r="C77" s="4">
        <v>256</v>
      </c>
      <c r="D77" s="4">
        <v>34</v>
      </c>
      <c r="E77" s="4">
        <v>14</v>
      </c>
      <c r="F77" s="4">
        <v>1.25</v>
      </c>
      <c r="G77" s="4">
        <v>17.5</v>
      </c>
      <c r="H77" t="s">
        <v>970</v>
      </c>
    </row>
    <row r="78" spans="1:8" ht="15.75" customHeight="1" x14ac:dyDescent="0.3">
      <c r="A78" s="4">
        <v>77</v>
      </c>
      <c r="B78" s="10">
        <v>46087</v>
      </c>
      <c r="C78" s="4">
        <v>76</v>
      </c>
      <c r="D78" s="4">
        <v>12</v>
      </c>
      <c r="E78" s="4">
        <v>12</v>
      </c>
      <c r="F78" s="4">
        <v>1</v>
      </c>
      <c r="G78" s="4">
        <v>12</v>
      </c>
      <c r="H78" t="s">
        <v>970</v>
      </c>
    </row>
    <row r="79" spans="1:8" ht="15.75" customHeight="1" x14ac:dyDescent="0.3">
      <c r="A79" s="4">
        <v>78</v>
      </c>
      <c r="B79" s="10">
        <v>46108</v>
      </c>
      <c r="C79" s="4">
        <v>304</v>
      </c>
      <c r="D79" s="4">
        <v>21</v>
      </c>
      <c r="E79" s="4">
        <v>20</v>
      </c>
      <c r="F79" s="4">
        <v>1.4</v>
      </c>
      <c r="G79" s="4">
        <v>28</v>
      </c>
      <c r="H79" t="s">
        <v>971</v>
      </c>
    </row>
    <row r="80" spans="1:8" ht="15.75" customHeight="1" x14ac:dyDescent="0.3">
      <c r="A80" s="4">
        <v>79</v>
      </c>
      <c r="B80" s="10">
        <v>46100</v>
      </c>
      <c r="C80" s="4">
        <v>215</v>
      </c>
      <c r="D80" s="4">
        <v>28</v>
      </c>
      <c r="E80" s="4">
        <v>6</v>
      </c>
      <c r="F80" s="4">
        <v>0.85</v>
      </c>
      <c r="G80" s="4">
        <v>5.0999999999999996</v>
      </c>
      <c r="H80" t="s">
        <v>970</v>
      </c>
    </row>
    <row r="81" spans="1:8" ht="15.75" customHeight="1" x14ac:dyDescent="0.3">
      <c r="A81" s="4">
        <v>80</v>
      </c>
      <c r="B81" s="10">
        <v>46058</v>
      </c>
      <c r="C81" s="4">
        <v>454</v>
      </c>
      <c r="D81" s="4">
        <v>17</v>
      </c>
      <c r="E81" s="4">
        <v>6</v>
      </c>
      <c r="F81" s="4">
        <v>0.25</v>
      </c>
      <c r="G81" s="4">
        <v>1.5</v>
      </c>
      <c r="H81" t="s">
        <v>970</v>
      </c>
    </row>
    <row r="82" spans="1:8" ht="15.75" customHeight="1" x14ac:dyDescent="0.3">
      <c r="A82" s="4">
        <v>81</v>
      </c>
      <c r="B82" s="10">
        <v>46089</v>
      </c>
      <c r="C82" s="4">
        <v>253</v>
      </c>
      <c r="D82" s="4">
        <v>30</v>
      </c>
      <c r="E82" s="4">
        <v>1</v>
      </c>
      <c r="F82" s="4">
        <v>2.2000000000000002</v>
      </c>
      <c r="G82" s="4">
        <v>2.2000000000000002</v>
      </c>
      <c r="H82" t="s">
        <v>971</v>
      </c>
    </row>
    <row r="83" spans="1:8" ht="15.75" customHeight="1" x14ac:dyDescent="0.3">
      <c r="A83" s="4">
        <v>82</v>
      </c>
      <c r="B83" s="10">
        <v>46039</v>
      </c>
      <c r="C83" s="4">
        <v>224</v>
      </c>
      <c r="D83" s="4">
        <v>37</v>
      </c>
      <c r="E83" s="4">
        <v>14</v>
      </c>
      <c r="F83" s="4">
        <v>1.25</v>
      </c>
      <c r="G83" s="4">
        <v>17.5</v>
      </c>
      <c r="H83" t="s">
        <v>971</v>
      </c>
    </row>
    <row r="84" spans="1:8" ht="15.75" customHeight="1" x14ac:dyDescent="0.3">
      <c r="A84" s="4">
        <v>83</v>
      </c>
      <c r="B84" s="10">
        <v>46075</v>
      </c>
      <c r="C84" s="4">
        <v>308</v>
      </c>
      <c r="D84" s="4">
        <v>21</v>
      </c>
      <c r="E84" s="4">
        <v>14</v>
      </c>
      <c r="F84" s="4">
        <v>1.4</v>
      </c>
      <c r="G84" s="4">
        <v>19.600000000000001</v>
      </c>
      <c r="H84" t="s">
        <v>971</v>
      </c>
    </row>
    <row r="85" spans="1:8" ht="15.75" customHeight="1" x14ac:dyDescent="0.3">
      <c r="A85" s="4">
        <v>84</v>
      </c>
      <c r="B85" s="10">
        <v>46075</v>
      </c>
      <c r="C85" s="4">
        <v>163</v>
      </c>
      <c r="D85" s="4">
        <v>18</v>
      </c>
      <c r="E85" s="4">
        <v>9</v>
      </c>
      <c r="F85" s="4">
        <v>0.3</v>
      </c>
      <c r="G85" s="4">
        <v>2.7</v>
      </c>
      <c r="H85" t="s">
        <v>970</v>
      </c>
    </row>
    <row r="86" spans="1:8" ht="15.75" customHeight="1" x14ac:dyDescent="0.3">
      <c r="A86" s="4">
        <v>85</v>
      </c>
      <c r="B86" s="10">
        <v>46054</v>
      </c>
      <c r="C86" s="4">
        <v>222</v>
      </c>
      <c r="D86" s="4">
        <v>15</v>
      </c>
      <c r="E86" s="4">
        <v>1</v>
      </c>
      <c r="F86" s="4">
        <v>0.95</v>
      </c>
      <c r="G86" s="4">
        <v>0.95</v>
      </c>
      <c r="H86" t="s">
        <v>970</v>
      </c>
    </row>
    <row r="87" spans="1:8" ht="15.75" customHeight="1" x14ac:dyDescent="0.3">
      <c r="A87" s="4">
        <v>86</v>
      </c>
      <c r="B87" s="10">
        <v>46025</v>
      </c>
      <c r="C87" s="4">
        <v>426</v>
      </c>
      <c r="D87" s="4">
        <v>3</v>
      </c>
      <c r="E87" s="4">
        <v>6</v>
      </c>
      <c r="F87" s="4">
        <v>1.5</v>
      </c>
      <c r="G87" s="4">
        <v>9</v>
      </c>
      <c r="H87" t="s">
        <v>971</v>
      </c>
    </row>
    <row r="88" spans="1:8" ht="15.75" customHeight="1" x14ac:dyDescent="0.3">
      <c r="A88" s="4">
        <v>87</v>
      </c>
      <c r="B88" s="10">
        <v>46046</v>
      </c>
      <c r="C88" s="4">
        <v>31</v>
      </c>
      <c r="D88" s="4">
        <v>43</v>
      </c>
      <c r="E88" s="4">
        <v>19</v>
      </c>
      <c r="F88" s="4">
        <v>4.5</v>
      </c>
      <c r="G88" s="4">
        <v>85.5</v>
      </c>
      <c r="H88" t="s">
        <v>970</v>
      </c>
    </row>
    <row r="89" spans="1:8" ht="15.75" customHeight="1" x14ac:dyDescent="0.3">
      <c r="A89" s="4">
        <v>88</v>
      </c>
      <c r="B89" s="10">
        <v>46033</v>
      </c>
      <c r="C89" s="4">
        <v>236</v>
      </c>
      <c r="D89" s="4">
        <v>7</v>
      </c>
      <c r="E89" s="4">
        <v>11</v>
      </c>
      <c r="F89" s="4">
        <v>0.25</v>
      </c>
      <c r="G89" s="4">
        <v>2.75</v>
      </c>
      <c r="H89" t="s">
        <v>970</v>
      </c>
    </row>
    <row r="90" spans="1:8" ht="15.75" customHeight="1" x14ac:dyDescent="0.3">
      <c r="A90" s="4">
        <v>89</v>
      </c>
      <c r="B90" s="10">
        <v>46094</v>
      </c>
      <c r="C90" s="4">
        <v>275</v>
      </c>
      <c r="D90" s="4">
        <v>7</v>
      </c>
      <c r="E90" s="4">
        <v>3</v>
      </c>
      <c r="F90" s="4">
        <v>0.25</v>
      </c>
      <c r="G90" s="4">
        <v>0.75</v>
      </c>
      <c r="H90" t="s">
        <v>971</v>
      </c>
    </row>
    <row r="91" spans="1:8" ht="15.75" customHeight="1" x14ac:dyDescent="0.3">
      <c r="A91" s="4">
        <v>90</v>
      </c>
      <c r="B91" s="10">
        <v>46031</v>
      </c>
      <c r="C91" s="4">
        <v>446</v>
      </c>
      <c r="D91" s="4">
        <v>17</v>
      </c>
      <c r="E91" s="4">
        <v>12</v>
      </c>
      <c r="F91" s="4">
        <v>0.25</v>
      </c>
      <c r="G91" s="4">
        <v>3</v>
      </c>
      <c r="H91" t="s">
        <v>970</v>
      </c>
    </row>
    <row r="92" spans="1:8" ht="15.75" customHeight="1" x14ac:dyDescent="0.3">
      <c r="A92" s="4">
        <v>91</v>
      </c>
      <c r="B92" s="10">
        <v>46095</v>
      </c>
      <c r="C92" s="4">
        <v>259</v>
      </c>
      <c r="D92" s="4">
        <v>40</v>
      </c>
      <c r="E92" s="4">
        <v>19</v>
      </c>
      <c r="F92" s="4">
        <v>1.9</v>
      </c>
      <c r="G92" s="4">
        <v>36.1</v>
      </c>
      <c r="H92" t="s">
        <v>970</v>
      </c>
    </row>
    <row r="93" spans="1:8" ht="15.75" customHeight="1" x14ac:dyDescent="0.3">
      <c r="A93" s="4">
        <v>92</v>
      </c>
      <c r="B93" s="10">
        <v>46031</v>
      </c>
      <c r="C93" s="4">
        <v>66</v>
      </c>
      <c r="D93" s="4">
        <v>13</v>
      </c>
      <c r="E93" s="4">
        <v>19</v>
      </c>
      <c r="F93" s="4">
        <v>0.9</v>
      </c>
      <c r="G93" s="4">
        <v>17.100000000000001</v>
      </c>
      <c r="H93" t="s">
        <v>971</v>
      </c>
    </row>
    <row r="94" spans="1:8" ht="15.75" customHeight="1" x14ac:dyDescent="0.3">
      <c r="A94" s="4">
        <v>93</v>
      </c>
      <c r="B94" s="10">
        <v>46113</v>
      </c>
      <c r="C94" s="4">
        <v>89</v>
      </c>
      <c r="D94" s="4">
        <v>43</v>
      </c>
      <c r="E94" s="4">
        <v>19</v>
      </c>
      <c r="F94" s="4">
        <v>4.5</v>
      </c>
      <c r="G94" s="4">
        <v>85.5</v>
      </c>
      <c r="H94" t="s">
        <v>970</v>
      </c>
    </row>
    <row r="95" spans="1:8" ht="15.75" customHeight="1" x14ac:dyDescent="0.3">
      <c r="A95" s="4">
        <v>94</v>
      </c>
      <c r="B95" s="10">
        <v>46064</v>
      </c>
      <c r="C95" s="4">
        <v>473</v>
      </c>
      <c r="D95" s="4">
        <v>37</v>
      </c>
      <c r="E95" s="4">
        <v>4</v>
      </c>
      <c r="F95" s="4">
        <v>1.25</v>
      </c>
      <c r="G95" s="4">
        <v>5</v>
      </c>
      <c r="H95" t="s">
        <v>970</v>
      </c>
    </row>
    <row r="96" spans="1:8" ht="15.75" customHeight="1" x14ac:dyDescent="0.3">
      <c r="A96" s="4">
        <v>95</v>
      </c>
      <c r="B96" s="10">
        <v>46042</v>
      </c>
      <c r="C96" s="4">
        <v>303</v>
      </c>
      <c r="D96" s="4">
        <v>36</v>
      </c>
      <c r="E96" s="4">
        <v>2</v>
      </c>
      <c r="F96" s="4">
        <v>1.1000000000000001</v>
      </c>
      <c r="G96" s="4">
        <v>2.2000000000000002</v>
      </c>
      <c r="H96" t="s">
        <v>971</v>
      </c>
    </row>
    <row r="97" spans="1:8" ht="15.75" customHeight="1" x14ac:dyDescent="0.3">
      <c r="A97" s="4">
        <v>96</v>
      </c>
      <c r="B97" s="10">
        <v>46049</v>
      </c>
      <c r="C97" s="4">
        <v>350</v>
      </c>
      <c r="D97" s="4">
        <v>9</v>
      </c>
      <c r="E97" s="4">
        <v>10</v>
      </c>
      <c r="F97" s="4">
        <v>1.7</v>
      </c>
      <c r="G97" s="4">
        <v>17</v>
      </c>
      <c r="H97" t="s">
        <v>971</v>
      </c>
    </row>
    <row r="98" spans="1:8" ht="15.75" customHeight="1" x14ac:dyDescent="0.3">
      <c r="A98" s="4">
        <v>97</v>
      </c>
      <c r="B98" s="10">
        <v>46101</v>
      </c>
      <c r="C98" s="4">
        <v>318</v>
      </c>
      <c r="D98" s="4">
        <v>4</v>
      </c>
      <c r="E98" s="4">
        <v>20</v>
      </c>
      <c r="F98" s="4">
        <v>1.5</v>
      </c>
      <c r="G98" s="4">
        <v>30</v>
      </c>
      <c r="H98" t="s">
        <v>971</v>
      </c>
    </row>
    <row r="99" spans="1:8" ht="15.75" customHeight="1" x14ac:dyDescent="0.3">
      <c r="A99" s="4">
        <v>98</v>
      </c>
      <c r="B99" s="10">
        <v>46050</v>
      </c>
      <c r="C99" s="4">
        <v>85</v>
      </c>
      <c r="D99" s="4">
        <v>36</v>
      </c>
      <c r="E99" s="4">
        <v>6</v>
      </c>
      <c r="F99" s="4">
        <v>1.1000000000000001</v>
      </c>
      <c r="G99" s="4">
        <v>6.6</v>
      </c>
      <c r="H99" t="s">
        <v>970</v>
      </c>
    </row>
    <row r="100" spans="1:8" ht="15.75" customHeight="1" x14ac:dyDescent="0.3">
      <c r="A100" s="4">
        <v>99</v>
      </c>
      <c r="B100" s="10">
        <v>46081</v>
      </c>
      <c r="C100" s="4">
        <v>283</v>
      </c>
      <c r="D100" s="4">
        <v>17</v>
      </c>
      <c r="E100" s="4">
        <v>8</v>
      </c>
      <c r="F100" s="4">
        <v>0.25</v>
      </c>
      <c r="G100" s="4">
        <v>2</v>
      </c>
      <c r="H100" t="s">
        <v>970</v>
      </c>
    </row>
    <row r="101" spans="1:8" ht="15.75" customHeight="1" x14ac:dyDescent="0.3">
      <c r="A101" s="4">
        <v>100</v>
      </c>
      <c r="B101" s="10">
        <v>46064</v>
      </c>
      <c r="C101" s="4">
        <v>486</v>
      </c>
      <c r="D101" s="4">
        <v>40</v>
      </c>
      <c r="E101" s="4">
        <v>3</v>
      </c>
      <c r="F101" s="4">
        <v>1.9</v>
      </c>
      <c r="G101" s="4">
        <v>5.7</v>
      </c>
      <c r="H101" t="s">
        <v>971</v>
      </c>
    </row>
    <row r="102" spans="1:8" ht="15.75" customHeight="1" x14ac:dyDescent="0.3">
      <c r="A102" s="4">
        <v>101</v>
      </c>
      <c r="B102" s="10">
        <v>46087</v>
      </c>
      <c r="C102" s="4">
        <v>359</v>
      </c>
      <c r="D102" s="4">
        <v>47</v>
      </c>
      <c r="E102" s="4">
        <v>4</v>
      </c>
      <c r="F102" s="4">
        <v>1.1499999999999999</v>
      </c>
      <c r="G102" s="4">
        <v>4.5999999999999996</v>
      </c>
      <c r="H102" t="s">
        <v>970</v>
      </c>
    </row>
    <row r="103" spans="1:8" ht="15.75" customHeight="1" x14ac:dyDescent="0.3">
      <c r="A103" s="4">
        <v>102</v>
      </c>
      <c r="B103" s="10">
        <v>46095</v>
      </c>
      <c r="C103" s="4">
        <v>303</v>
      </c>
      <c r="D103" s="4">
        <v>14</v>
      </c>
      <c r="E103" s="4">
        <v>14</v>
      </c>
      <c r="F103" s="4">
        <v>0.85</v>
      </c>
      <c r="G103" s="4">
        <v>11.9</v>
      </c>
      <c r="H103" t="s">
        <v>970</v>
      </c>
    </row>
    <row r="104" spans="1:8" ht="15.75" customHeight="1" x14ac:dyDescent="0.3">
      <c r="A104" s="4">
        <v>103</v>
      </c>
      <c r="B104" s="10">
        <v>46053</v>
      </c>
      <c r="C104" s="4">
        <v>27</v>
      </c>
      <c r="D104" s="4">
        <v>41</v>
      </c>
      <c r="E104" s="4">
        <v>20</v>
      </c>
      <c r="F104" s="4">
        <v>2.4</v>
      </c>
      <c r="G104" s="4">
        <v>48</v>
      </c>
      <c r="H104" t="s">
        <v>971</v>
      </c>
    </row>
    <row r="105" spans="1:8" ht="15.75" customHeight="1" x14ac:dyDescent="0.3">
      <c r="A105" s="4">
        <v>104</v>
      </c>
      <c r="B105" s="10">
        <v>46037</v>
      </c>
      <c r="C105" s="4">
        <v>358</v>
      </c>
      <c r="D105" s="4">
        <v>6</v>
      </c>
      <c r="E105" s="4">
        <v>9</v>
      </c>
      <c r="F105" s="4">
        <v>1</v>
      </c>
      <c r="G105" s="4">
        <v>9</v>
      </c>
      <c r="H105" t="s">
        <v>970</v>
      </c>
    </row>
    <row r="106" spans="1:8" ht="15.75" customHeight="1" x14ac:dyDescent="0.3">
      <c r="A106" s="4">
        <v>105</v>
      </c>
      <c r="B106" s="10">
        <v>46101</v>
      </c>
      <c r="C106" s="4">
        <v>127</v>
      </c>
      <c r="D106" s="4">
        <v>13</v>
      </c>
      <c r="E106" s="4">
        <v>12</v>
      </c>
      <c r="F106" s="4">
        <v>0.9</v>
      </c>
      <c r="G106" s="4">
        <v>10.8</v>
      </c>
      <c r="H106" t="s">
        <v>970</v>
      </c>
    </row>
    <row r="107" spans="1:8" ht="15.75" customHeight="1" x14ac:dyDescent="0.3">
      <c r="A107" s="4">
        <v>106</v>
      </c>
      <c r="B107" s="10">
        <v>46043</v>
      </c>
      <c r="C107" s="4">
        <v>232</v>
      </c>
      <c r="D107" s="4">
        <v>5</v>
      </c>
      <c r="E107" s="4">
        <v>18</v>
      </c>
      <c r="F107" s="4">
        <v>0.75</v>
      </c>
      <c r="G107" s="4">
        <v>13.5</v>
      </c>
      <c r="H107" t="s">
        <v>971</v>
      </c>
    </row>
    <row r="108" spans="1:8" ht="15.75" customHeight="1" x14ac:dyDescent="0.3">
      <c r="A108" s="4">
        <v>107</v>
      </c>
      <c r="B108" s="10">
        <v>46104</v>
      </c>
      <c r="C108" s="4">
        <v>73</v>
      </c>
      <c r="D108" s="4">
        <v>36</v>
      </c>
      <c r="E108" s="4">
        <v>3</v>
      </c>
      <c r="F108" s="4">
        <v>1.1000000000000001</v>
      </c>
      <c r="G108" s="4">
        <v>3.3</v>
      </c>
      <c r="H108" t="s">
        <v>970</v>
      </c>
    </row>
    <row r="109" spans="1:8" ht="15.75" customHeight="1" x14ac:dyDescent="0.3">
      <c r="A109" s="4">
        <v>108</v>
      </c>
      <c r="B109" s="10">
        <v>46031</v>
      </c>
      <c r="C109" s="4">
        <v>239</v>
      </c>
      <c r="D109" s="4">
        <v>45</v>
      </c>
      <c r="E109" s="4">
        <v>19</v>
      </c>
      <c r="F109" s="4">
        <v>0.95</v>
      </c>
      <c r="G109" s="4">
        <v>18.05</v>
      </c>
      <c r="H109" t="s">
        <v>970</v>
      </c>
    </row>
    <row r="110" spans="1:8" ht="15.75" customHeight="1" x14ac:dyDescent="0.3">
      <c r="A110" s="4">
        <v>109</v>
      </c>
      <c r="B110" s="10">
        <v>46056</v>
      </c>
      <c r="C110" s="4">
        <v>313</v>
      </c>
      <c r="D110" s="4">
        <v>16</v>
      </c>
      <c r="E110" s="4">
        <v>14</v>
      </c>
      <c r="F110" s="4">
        <v>0.25</v>
      </c>
      <c r="G110" s="4">
        <v>3.5</v>
      </c>
      <c r="H110" t="s">
        <v>971</v>
      </c>
    </row>
    <row r="111" spans="1:8" ht="15.75" customHeight="1" x14ac:dyDescent="0.3">
      <c r="A111" s="4">
        <v>110</v>
      </c>
      <c r="B111" s="10">
        <v>46089</v>
      </c>
      <c r="C111" s="4">
        <v>153</v>
      </c>
      <c r="D111" s="4">
        <v>47</v>
      </c>
      <c r="E111" s="4">
        <v>13</v>
      </c>
      <c r="F111" s="4">
        <v>1.1499999999999999</v>
      </c>
      <c r="G111" s="4">
        <v>14.95</v>
      </c>
      <c r="H111" t="s">
        <v>971</v>
      </c>
    </row>
    <row r="112" spans="1:8" ht="15.75" customHeight="1" x14ac:dyDescent="0.3">
      <c r="A112" s="4">
        <v>111</v>
      </c>
      <c r="B112" s="10">
        <v>46071</v>
      </c>
      <c r="C112" s="4">
        <v>84</v>
      </c>
      <c r="D112" s="4">
        <v>7</v>
      </c>
      <c r="E112" s="4">
        <v>7</v>
      </c>
      <c r="F112" s="4">
        <v>0.25</v>
      </c>
      <c r="G112" s="4">
        <v>1.75</v>
      </c>
      <c r="H112" t="s">
        <v>971</v>
      </c>
    </row>
    <row r="113" spans="1:8" ht="15.75" customHeight="1" x14ac:dyDescent="0.3">
      <c r="A113" s="4">
        <v>112</v>
      </c>
      <c r="B113" s="10">
        <v>46073</v>
      </c>
      <c r="C113" s="4">
        <v>86</v>
      </c>
      <c r="D113" s="4">
        <v>14</v>
      </c>
      <c r="E113" s="4">
        <v>5</v>
      </c>
      <c r="F113" s="4">
        <v>0.85</v>
      </c>
      <c r="G113" s="4">
        <v>4.25</v>
      </c>
      <c r="H113" t="s">
        <v>970</v>
      </c>
    </row>
    <row r="114" spans="1:8" ht="15.75" customHeight="1" x14ac:dyDescent="0.3">
      <c r="A114" s="4">
        <v>113</v>
      </c>
      <c r="B114" s="10">
        <v>46067</v>
      </c>
      <c r="C114" s="4">
        <v>233</v>
      </c>
      <c r="D114" s="4">
        <v>21</v>
      </c>
      <c r="E114" s="4">
        <v>6</v>
      </c>
      <c r="F114" s="4">
        <v>1.4</v>
      </c>
      <c r="G114" s="4">
        <v>8.4</v>
      </c>
      <c r="H114" t="s">
        <v>970</v>
      </c>
    </row>
    <row r="115" spans="1:8" ht="15.75" customHeight="1" x14ac:dyDescent="0.3">
      <c r="A115" s="4">
        <v>114</v>
      </c>
      <c r="B115" s="10">
        <v>46076</v>
      </c>
      <c r="C115" s="4">
        <v>438</v>
      </c>
      <c r="D115" s="4">
        <v>9</v>
      </c>
      <c r="E115" s="4">
        <v>4</v>
      </c>
      <c r="F115" s="4">
        <v>1.7</v>
      </c>
      <c r="G115" s="4">
        <v>6.8</v>
      </c>
      <c r="H115" t="s">
        <v>971</v>
      </c>
    </row>
    <row r="116" spans="1:8" ht="15.75" customHeight="1" x14ac:dyDescent="0.3">
      <c r="A116" s="4">
        <v>115</v>
      </c>
      <c r="B116" s="10">
        <v>46077</v>
      </c>
      <c r="C116" s="4">
        <v>471</v>
      </c>
      <c r="D116" s="4">
        <v>2</v>
      </c>
      <c r="E116" s="4">
        <v>15</v>
      </c>
      <c r="F116" s="4">
        <v>1.75</v>
      </c>
      <c r="G116" s="4">
        <v>26.25</v>
      </c>
      <c r="H116" t="s">
        <v>970</v>
      </c>
    </row>
    <row r="117" spans="1:8" ht="15.75" customHeight="1" x14ac:dyDescent="0.3">
      <c r="A117" s="4">
        <v>116</v>
      </c>
      <c r="B117" s="10">
        <v>46109</v>
      </c>
      <c r="C117" s="4">
        <v>181</v>
      </c>
      <c r="D117" s="4">
        <v>34</v>
      </c>
      <c r="E117" s="4">
        <v>12</v>
      </c>
      <c r="F117" s="4">
        <v>1.25</v>
      </c>
      <c r="G117" s="4">
        <v>15</v>
      </c>
      <c r="H117" t="s">
        <v>970</v>
      </c>
    </row>
    <row r="118" spans="1:8" ht="15.75" customHeight="1" x14ac:dyDescent="0.3">
      <c r="A118" s="4">
        <v>117</v>
      </c>
      <c r="B118" s="10">
        <v>46108</v>
      </c>
      <c r="C118" s="4">
        <v>15</v>
      </c>
      <c r="D118" s="4">
        <v>35</v>
      </c>
      <c r="E118" s="4">
        <v>14</v>
      </c>
      <c r="F118" s="4">
        <v>1.3</v>
      </c>
      <c r="G118" s="4">
        <v>18.2</v>
      </c>
      <c r="H118" t="s">
        <v>971</v>
      </c>
    </row>
    <row r="119" spans="1:8" ht="15.75" customHeight="1" x14ac:dyDescent="0.3">
      <c r="A119" s="4">
        <v>118</v>
      </c>
      <c r="B119" s="10">
        <v>46084</v>
      </c>
      <c r="C119" s="4">
        <v>224</v>
      </c>
      <c r="D119" s="4">
        <v>37</v>
      </c>
      <c r="E119" s="4">
        <v>5</v>
      </c>
      <c r="F119" s="4">
        <v>1.25</v>
      </c>
      <c r="G119" s="4">
        <v>6.25</v>
      </c>
      <c r="H119" t="s">
        <v>970</v>
      </c>
    </row>
    <row r="120" spans="1:8" ht="15.75" customHeight="1" x14ac:dyDescent="0.3">
      <c r="A120" s="4">
        <v>119</v>
      </c>
      <c r="B120" s="10">
        <v>46086</v>
      </c>
      <c r="C120" s="4">
        <v>200</v>
      </c>
      <c r="D120" s="4">
        <v>49</v>
      </c>
      <c r="E120" s="4">
        <v>1</v>
      </c>
      <c r="F120" s="4">
        <v>1.4</v>
      </c>
      <c r="G120" s="4">
        <v>1.4</v>
      </c>
      <c r="H120" t="s">
        <v>970</v>
      </c>
    </row>
    <row r="121" spans="1:8" ht="15.75" customHeight="1" x14ac:dyDescent="0.3">
      <c r="A121" s="4">
        <v>120</v>
      </c>
      <c r="B121" s="10">
        <v>46038</v>
      </c>
      <c r="C121" s="4">
        <v>496</v>
      </c>
      <c r="D121" s="4">
        <v>39</v>
      </c>
      <c r="E121" s="4">
        <v>10</v>
      </c>
      <c r="F121" s="4">
        <v>2.1</v>
      </c>
      <c r="G121" s="4">
        <v>21</v>
      </c>
      <c r="H121" t="s">
        <v>971</v>
      </c>
    </row>
    <row r="122" spans="1:8" ht="15.75" customHeight="1" x14ac:dyDescent="0.3">
      <c r="A122" s="4">
        <v>121</v>
      </c>
      <c r="B122" s="10">
        <v>46072</v>
      </c>
      <c r="C122" s="4">
        <v>34</v>
      </c>
      <c r="D122" s="4">
        <v>9</v>
      </c>
      <c r="E122" s="4">
        <v>6</v>
      </c>
      <c r="F122" s="4">
        <v>1.7</v>
      </c>
      <c r="G122" s="4">
        <v>10.199999999999999</v>
      </c>
      <c r="H122" t="s">
        <v>970</v>
      </c>
    </row>
    <row r="123" spans="1:8" ht="15.75" customHeight="1" x14ac:dyDescent="0.3">
      <c r="A123" s="4">
        <v>122</v>
      </c>
      <c r="B123" s="10">
        <v>46046</v>
      </c>
      <c r="C123" s="4">
        <v>205</v>
      </c>
      <c r="D123" s="4">
        <v>6</v>
      </c>
      <c r="E123" s="4">
        <v>10</v>
      </c>
      <c r="F123" s="4">
        <v>1</v>
      </c>
      <c r="G123" s="4">
        <v>10</v>
      </c>
      <c r="H123" t="s">
        <v>970</v>
      </c>
    </row>
    <row r="124" spans="1:8" ht="15.75" customHeight="1" x14ac:dyDescent="0.3">
      <c r="A124" s="4">
        <v>123</v>
      </c>
      <c r="B124" s="10">
        <v>46075</v>
      </c>
      <c r="C124" s="4">
        <v>482</v>
      </c>
      <c r="D124" s="4">
        <v>33</v>
      </c>
      <c r="E124" s="4">
        <v>8</v>
      </c>
      <c r="F124" s="4">
        <v>1.2</v>
      </c>
      <c r="G124" s="4">
        <v>9.6</v>
      </c>
      <c r="H124" t="s">
        <v>971</v>
      </c>
    </row>
    <row r="125" spans="1:8" ht="15.75" customHeight="1" x14ac:dyDescent="0.3">
      <c r="A125" s="4">
        <v>124</v>
      </c>
      <c r="B125" s="10">
        <v>46062</v>
      </c>
      <c r="C125" s="4">
        <v>46</v>
      </c>
      <c r="D125" s="4">
        <v>11</v>
      </c>
      <c r="E125" s="4">
        <v>14</v>
      </c>
      <c r="F125" s="4">
        <v>0.75</v>
      </c>
      <c r="G125" s="4">
        <v>10.5</v>
      </c>
      <c r="H125" t="s">
        <v>971</v>
      </c>
    </row>
    <row r="126" spans="1:8" ht="15.75" customHeight="1" x14ac:dyDescent="0.3">
      <c r="A126" s="4">
        <v>125</v>
      </c>
      <c r="B126" s="10">
        <v>46023</v>
      </c>
      <c r="C126" s="4">
        <v>401</v>
      </c>
      <c r="D126" s="4">
        <v>39</v>
      </c>
      <c r="E126" s="4">
        <v>8</v>
      </c>
      <c r="F126" s="4">
        <v>2.1</v>
      </c>
      <c r="G126" s="4">
        <v>16.8</v>
      </c>
      <c r="H126" t="s">
        <v>971</v>
      </c>
    </row>
    <row r="127" spans="1:8" ht="15.75" customHeight="1" x14ac:dyDescent="0.3">
      <c r="A127" s="4">
        <v>126</v>
      </c>
      <c r="B127" s="10">
        <v>46024</v>
      </c>
      <c r="C127" s="4">
        <v>134</v>
      </c>
      <c r="D127" s="4">
        <v>17</v>
      </c>
      <c r="E127" s="4">
        <v>11</v>
      </c>
      <c r="F127" s="4">
        <v>0.25</v>
      </c>
      <c r="G127" s="4">
        <v>2.75</v>
      </c>
      <c r="H127" t="s">
        <v>970</v>
      </c>
    </row>
    <row r="128" spans="1:8" ht="15.75" customHeight="1" x14ac:dyDescent="0.3">
      <c r="A128" s="4">
        <v>127</v>
      </c>
      <c r="B128" s="10">
        <v>46101</v>
      </c>
      <c r="C128" s="4">
        <v>368</v>
      </c>
      <c r="D128" s="4">
        <v>27</v>
      </c>
      <c r="E128" s="4">
        <v>16</v>
      </c>
      <c r="F128" s="4">
        <v>1.3</v>
      </c>
      <c r="G128" s="4">
        <v>20.8</v>
      </c>
      <c r="H128" t="s">
        <v>970</v>
      </c>
    </row>
    <row r="129" spans="1:8" ht="15.75" customHeight="1" x14ac:dyDescent="0.3">
      <c r="A129" s="4">
        <v>128</v>
      </c>
      <c r="B129" s="10">
        <v>46062</v>
      </c>
      <c r="C129" s="4">
        <v>180</v>
      </c>
      <c r="D129" s="4">
        <v>33</v>
      </c>
      <c r="E129" s="4">
        <v>20</v>
      </c>
      <c r="F129" s="4">
        <v>1.2</v>
      </c>
      <c r="G129" s="4">
        <v>24</v>
      </c>
      <c r="H129" t="s">
        <v>971</v>
      </c>
    </row>
    <row r="130" spans="1:8" ht="15.75" customHeight="1" x14ac:dyDescent="0.3">
      <c r="A130" s="4">
        <v>129</v>
      </c>
      <c r="B130" s="10">
        <v>46024</v>
      </c>
      <c r="C130" s="4">
        <v>412</v>
      </c>
      <c r="D130" s="4">
        <v>5</v>
      </c>
      <c r="E130" s="4">
        <v>18</v>
      </c>
      <c r="F130" s="4">
        <v>0.75</v>
      </c>
      <c r="G130" s="4">
        <v>13.5</v>
      </c>
      <c r="H130" t="s">
        <v>970</v>
      </c>
    </row>
    <row r="131" spans="1:8" ht="15.75" customHeight="1" x14ac:dyDescent="0.3">
      <c r="A131" s="4">
        <v>130</v>
      </c>
      <c r="B131" s="10">
        <v>46040</v>
      </c>
      <c r="C131" s="4">
        <v>98</v>
      </c>
      <c r="D131" s="4">
        <v>8</v>
      </c>
      <c r="E131" s="4">
        <v>10</v>
      </c>
      <c r="F131" s="4">
        <v>1.5</v>
      </c>
      <c r="G131" s="4">
        <v>15</v>
      </c>
      <c r="H131" t="s">
        <v>970</v>
      </c>
    </row>
    <row r="132" spans="1:8" ht="15.75" customHeight="1" x14ac:dyDescent="0.3">
      <c r="A132" s="4">
        <v>131</v>
      </c>
      <c r="B132" s="10">
        <v>46079</v>
      </c>
      <c r="C132" s="4">
        <v>304</v>
      </c>
      <c r="D132" s="4">
        <v>1</v>
      </c>
      <c r="E132" s="4">
        <v>3</v>
      </c>
      <c r="F132" s="4">
        <v>1.5</v>
      </c>
      <c r="G132" s="4">
        <v>4.5</v>
      </c>
      <c r="H132" t="s">
        <v>971</v>
      </c>
    </row>
    <row r="133" spans="1:8" ht="15.75" customHeight="1" x14ac:dyDescent="0.3">
      <c r="A133" s="4">
        <v>132</v>
      </c>
      <c r="B133" s="10">
        <v>46032</v>
      </c>
      <c r="C133" s="4">
        <v>254</v>
      </c>
      <c r="D133" s="4">
        <v>20</v>
      </c>
      <c r="E133" s="4">
        <v>3</v>
      </c>
      <c r="F133" s="4">
        <v>0.3</v>
      </c>
      <c r="G133" s="4">
        <v>0.9</v>
      </c>
      <c r="H133" t="s">
        <v>970</v>
      </c>
    </row>
    <row r="134" spans="1:8" ht="15.75" customHeight="1" x14ac:dyDescent="0.3">
      <c r="A134" s="4">
        <v>133</v>
      </c>
      <c r="B134" s="10">
        <v>46071</v>
      </c>
      <c r="C134" s="4">
        <v>143</v>
      </c>
      <c r="D134" s="4">
        <v>21</v>
      </c>
      <c r="E134" s="4">
        <v>3</v>
      </c>
      <c r="F134" s="4">
        <v>1.4</v>
      </c>
      <c r="G134" s="4">
        <v>4.2</v>
      </c>
      <c r="H134" t="s">
        <v>970</v>
      </c>
    </row>
    <row r="135" spans="1:8" ht="15.75" customHeight="1" x14ac:dyDescent="0.3">
      <c r="A135" s="4">
        <v>134</v>
      </c>
      <c r="B135" s="10">
        <v>46083</v>
      </c>
      <c r="C135" s="4">
        <v>395</v>
      </c>
      <c r="D135" s="4">
        <v>11</v>
      </c>
      <c r="E135" s="4">
        <v>4</v>
      </c>
      <c r="F135" s="4">
        <v>0.75</v>
      </c>
      <c r="G135" s="4">
        <v>3</v>
      </c>
      <c r="H135" t="s">
        <v>971</v>
      </c>
    </row>
    <row r="136" spans="1:8" ht="15.75" customHeight="1" x14ac:dyDescent="0.3">
      <c r="A136" s="4">
        <v>135</v>
      </c>
      <c r="B136" s="10">
        <v>46035</v>
      </c>
      <c r="C136" s="4">
        <v>218</v>
      </c>
      <c r="D136" s="4">
        <v>16</v>
      </c>
      <c r="E136" s="4">
        <v>4</v>
      </c>
      <c r="F136" s="4">
        <v>0.25</v>
      </c>
      <c r="G136" s="4">
        <v>1</v>
      </c>
      <c r="H136" t="s">
        <v>970</v>
      </c>
    </row>
    <row r="137" spans="1:8" ht="15.75" customHeight="1" x14ac:dyDescent="0.3">
      <c r="A137" s="4">
        <v>136</v>
      </c>
      <c r="B137" s="10">
        <v>46044</v>
      </c>
      <c r="C137" s="4">
        <v>286</v>
      </c>
      <c r="D137" s="4">
        <v>40</v>
      </c>
      <c r="E137" s="4">
        <v>4</v>
      </c>
      <c r="F137" s="4">
        <v>1.9</v>
      </c>
      <c r="G137" s="4">
        <v>7.6</v>
      </c>
      <c r="H137" t="s">
        <v>970</v>
      </c>
    </row>
    <row r="138" spans="1:8" ht="15.75" customHeight="1" x14ac:dyDescent="0.3">
      <c r="A138" s="4">
        <v>137</v>
      </c>
      <c r="B138" s="10">
        <v>46063</v>
      </c>
      <c r="C138" s="4">
        <v>34</v>
      </c>
      <c r="D138" s="4">
        <v>42</v>
      </c>
      <c r="E138" s="4">
        <v>18</v>
      </c>
      <c r="F138" s="4">
        <v>2.6</v>
      </c>
      <c r="G138" s="4">
        <v>46.8</v>
      </c>
      <c r="H138" t="s">
        <v>971</v>
      </c>
    </row>
    <row r="139" spans="1:8" ht="15.75" customHeight="1" x14ac:dyDescent="0.3">
      <c r="A139" s="4">
        <v>138</v>
      </c>
      <c r="B139" s="10">
        <v>46067</v>
      </c>
      <c r="C139" s="4">
        <v>338</v>
      </c>
      <c r="D139" s="4">
        <v>17</v>
      </c>
      <c r="E139" s="4">
        <v>13</v>
      </c>
      <c r="F139" s="4">
        <v>0.25</v>
      </c>
      <c r="G139" s="4">
        <v>3.25</v>
      </c>
      <c r="H139" t="s">
        <v>971</v>
      </c>
    </row>
    <row r="140" spans="1:8" ht="15.75" customHeight="1" x14ac:dyDescent="0.3">
      <c r="A140" s="4">
        <v>139</v>
      </c>
      <c r="B140" s="10">
        <v>46062</v>
      </c>
      <c r="C140" s="4">
        <v>305</v>
      </c>
      <c r="D140" s="4">
        <v>31</v>
      </c>
      <c r="E140" s="4">
        <v>19</v>
      </c>
      <c r="F140" s="4">
        <v>0.9</v>
      </c>
      <c r="G140" s="4">
        <v>17.100000000000001</v>
      </c>
      <c r="H140" t="s">
        <v>971</v>
      </c>
    </row>
    <row r="141" spans="1:8" ht="15.75" customHeight="1" x14ac:dyDescent="0.3">
      <c r="A141" s="4">
        <v>140</v>
      </c>
      <c r="B141" s="10">
        <v>46084</v>
      </c>
      <c r="C141" s="4">
        <v>386</v>
      </c>
      <c r="D141" s="4">
        <v>36</v>
      </c>
      <c r="E141" s="4">
        <v>11</v>
      </c>
      <c r="F141" s="4">
        <v>1.1000000000000001</v>
      </c>
      <c r="G141" s="4">
        <v>12.1</v>
      </c>
      <c r="H141" t="s">
        <v>970</v>
      </c>
    </row>
    <row r="142" spans="1:8" ht="15.75" customHeight="1" x14ac:dyDescent="0.3">
      <c r="A142" s="4">
        <v>141</v>
      </c>
      <c r="B142" s="10">
        <v>46041</v>
      </c>
      <c r="C142" s="4">
        <v>466</v>
      </c>
      <c r="D142" s="4">
        <v>32</v>
      </c>
      <c r="E142" s="4">
        <v>7</v>
      </c>
      <c r="F142" s="4">
        <v>1.1000000000000001</v>
      </c>
      <c r="G142" s="4">
        <v>7.7</v>
      </c>
      <c r="H142" t="s">
        <v>970</v>
      </c>
    </row>
    <row r="143" spans="1:8" ht="15.75" customHeight="1" x14ac:dyDescent="0.3">
      <c r="A143" s="4">
        <v>142</v>
      </c>
      <c r="B143" s="10">
        <v>46031</v>
      </c>
      <c r="C143" s="4">
        <v>210</v>
      </c>
      <c r="D143" s="4">
        <v>33</v>
      </c>
      <c r="E143" s="4">
        <v>9</v>
      </c>
      <c r="F143" s="4">
        <v>1.2</v>
      </c>
      <c r="G143" s="4">
        <v>10.8</v>
      </c>
      <c r="H143" t="s">
        <v>971</v>
      </c>
    </row>
    <row r="144" spans="1:8" ht="15.75" customHeight="1" x14ac:dyDescent="0.3">
      <c r="A144" s="4">
        <v>143</v>
      </c>
      <c r="B144" s="10">
        <v>46080</v>
      </c>
      <c r="C144" s="4">
        <v>158</v>
      </c>
      <c r="D144" s="4">
        <v>14</v>
      </c>
      <c r="E144" s="4">
        <v>8</v>
      </c>
      <c r="F144" s="4">
        <v>0.85</v>
      </c>
      <c r="G144" s="4">
        <v>6.8</v>
      </c>
      <c r="H144" t="s">
        <v>970</v>
      </c>
    </row>
    <row r="145" spans="1:8" ht="15.75" customHeight="1" x14ac:dyDescent="0.3">
      <c r="A145" s="4">
        <v>144</v>
      </c>
      <c r="B145" s="10">
        <v>46033</v>
      </c>
      <c r="C145" s="4">
        <v>369</v>
      </c>
      <c r="D145" s="4">
        <v>28</v>
      </c>
      <c r="E145" s="4">
        <v>13</v>
      </c>
      <c r="F145" s="4">
        <v>0.85</v>
      </c>
      <c r="G145" s="4">
        <v>11.05</v>
      </c>
      <c r="H145" t="s">
        <v>970</v>
      </c>
    </row>
    <row r="146" spans="1:8" ht="15.75" customHeight="1" x14ac:dyDescent="0.3">
      <c r="A146" s="4">
        <v>145</v>
      </c>
      <c r="B146" s="10">
        <v>46042</v>
      </c>
      <c r="C146" s="4">
        <v>289</v>
      </c>
      <c r="D146" s="4">
        <v>24</v>
      </c>
      <c r="E146" s="4">
        <v>8</v>
      </c>
      <c r="F146" s="4">
        <v>1.5</v>
      </c>
      <c r="G146" s="4">
        <v>12</v>
      </c>
      <c r="H146" t="s">
        <v>971</v>
      </c>
    </row>
    <row r="147" spans="1:8" ht="15.75" customHeight="1" x14ac:dyDescent="0.3">
      <c r="A147" s="4">
        <v>146</v>
      </c>
      <c r="B147" s="10">
        <v>46032</v>
      </c>
      <c r="C147" s="4">
        <v>5</v>
      </c>
      <c r="D147" s="4">
        <v>23</v>
      </c>
      <c r="E147" s="4">
        <v>8</v>
      </c>
      <c r="F147" s="4">
        <v>1.3</v>
      </c>
      <c r="G147" s="4">
        <v>10.4</v>
      </c>
      <c r="H147" t="s">
        <v>970</v>
      </c>
    </row>
    <row r="148" spans="1:8" ht="15.75" customHeight="1" x14ac:dyDescent="0.3">
      <c r="A148" s="4">
        <v>147</v>
      </c>
      <c r="B148" s="10">
        <v>46072</v>
      </c>
      <c r="C148" s="4">
        <v>3</v>
      </c>
      <c r="D148" s="4">
        <v>15</v>
      </c>
      <c r="E148" s="4">
        <v>13</v>
      </c>
      <c r="F148" s="4">
        <v>0.95</v>
      </c>
      <c r="G148" s="4">
        <v>12.35</v>
      </c>
      <c r="H148" t="s">
        <v>970</v>
      </c>
    </row>
    <row r="149" spans="1:8" ht="15.75" customHeight="1" x14ac:dyDescent="0.3">
      <c r="A149" s="4">
        <v>148</v>
      </c>
      <c r="B149" s="10">
        <v>46107</v>
      </c>
      <c r="C149" s="4">
        <v>449</v>
      </c>
      <c r="D149" s="4">
        <v>25</v>
      </c>
      <c r="E149" s="4">
        <v>3</v>
      </c>
      <c r="F149" s="4">
        <v>1.4</v>
      </c>
      <c r="G149" s="4">
        <v>4.2</v>
      </c>
      <c r="H149" t="s">
        <v>971</v>
      </c>
    </row>
    <row r="150" spans="1:8" ht="15.75" customHeight="1" x14ac:dyDescent="0.3">
      <c r="A150" s="4">
        <v>149</v>
      </c>
      <c r="B150" s="10">
        <v>46103</v>
      </c>
      <c r="C150" s="4">
        <v>277</v>
      </c>
      <c r="D150" s="4">
        <v>30</v>
      </c>
      <c r="E150" s="4">
        <v>13</v>
      </c>
      <c r="F150" s="4">
        <v>2.2000000000000002</v>
      </c>
      <c r="G150" s="4">
        <v>28.6</v>
      </c>
      <c r="H150" t="s">
        <v>970</v>
      </c>
    </row>
    <row r="151" spans="1:8" ht="15.75" customHeight="1" x14ac:dyDescent="0.3">
      <c r="A151" s="4">
        <v>150</v>
      </c>
      <c r="B151" s="10">
        <v>46084</v>
      </c>
      <c r="C151" s="4">
        <v>48</v>
      </c>
      <c r="D151" s="4">
        <v>7</v>
      </c>
      <c r="E151" s="4">
        <v>1</v>
      </c>
      <c r="F151" s="4">
        <v>0.25</v>
      </c>
      <c r="G151" s="4">
        <v>0.25</v>
      </c>
      <c r="H151" t="s">
        <v>970</v>
      </c>
    </row>
    <row r="152" spans="1:8" ht="15.75" customHeight="1" x14ac:dyDescent="0.3">
      <c r="A152" s="4">
        <v>151</v>
      </c>
      <c r="B152" s="10">
        <v>46025</v>
      </c>
      <c r="C152" s="4">
        <v>397</v>
      </c>
      <c r="D152" s="4">
        <v>1</v>
      </c>
      <c r="E152" s="4">
        <v>11</v>
      </c>
      <c r="F152" s="4">
        <v>1.5</v>
      </c>
      <c r="G152" s="4">
        <v>16.5</v>
      </c>
      <c r="H152" t="s">
        <v>971</v>
      </c>
    </row>
    <row r="153" spans="1:8" ht="15.75" customHeight="1" x14ac:dyDescent="0.3">
      <c r="A153" s="4">
        <v>152</v>
      </c>
      <c r="B153" s="10">
        <v>46033</v>
      </c>
      <c r="C153" s="4">
        <v>487</v>
      </c>
      <c r="D153" s="4">
        <v>32</v>
      </c>
      <c r="E153" s="4">
        <v>14</v>
      </c>
      <c r="F153" s="4">
        <v>1.1000000000000001</v>
      </c>
      <c r="G153" s="4">
        <v>15.4</v>
      </c>
      <c r="H153" t="s">
        <v>971</v>
      </c>
    </row>
    <row r="154" spans="1:8" ht="15.75" customHeight="1" x14ac:dyDescent="0.3">
      <c r="A154" s="4">
        <v>153</v>
      </c>
      <c r="B154" s="10">
        <v>46085</v>
      </c>
      <c r="C154" s="4">
        <v>314</v>
      </c>
      <c r="D154" s="4">
        <v>26</v>
      </c>
      <c r="E154" s="4">
        <v>14</v>
      </c>
      <c r="F154" s="4">
        <v>1.1000000000000001</v>
      </c>
      <c r="G154" s="4">
        <v>15.4</v>
      </c>
      <c r="H154" t="s">
        <v>971</v>
      </c>
    </row>
    <row r="155" spans="1:8" ht="15.75" customHeight="1" x14ac:dyDescent="0.3">
      <c r="A155" s="4">
        <v>154</v>
      </c>
      <c r="B155" s="10">
        <v>46097</v>
      </c>
      <c r="C155" s="4">
        <v>1</v>
      </c>
      <c r="D155" s="4">
        <v>9</v>
      </c>
      <c r="E155" s="4">
        <v>17</v>
      </c>
      <c r="F155" s="4">
        <v>1.7</v>
      </c>
      <c r="G155" s="4">
        <v>28.9</v>
      </c>
      <c r="H155" t="s">
        <v>970</v>
      </c>
    </row>
    <row r="156" spans="1:8" ht="15.75" customHeight="1" x14ac:dyDescent="0.3">
      <c r="A156" s="4">
        <v>155</v>
      </c>
      <c r="B156" s="10">
        <v>46056</v>
      </c>
      <c r="C156" s="4">
        <v>229</v>
      </c>
      <c r="D156" s="4">
        <v>22</v>
      </c>
      <c r="E156" s="4">
        <v>9</v>
      </c>
      <c r="F156" s="4">
        <v>1.2</v>
      </c>
      <c r="G156" s="4">
        <v>10.8</v>
      </c>
      <c r="H156" t="s">
        <v>970</v>
      </c>
    </row>
    <row r="157" spans="1:8" ht="15.75" customHeight="1" x14ac:dyDescent="0.3">
      <c r="A157" s="4">
        <v>156</v>
      </c>
      <c r="B157" s="10">
        <v>46091</v>
      </c>
      <c r="C157" s="4">
        <v>400</v>
      </c>
      <c r="D157" s="4">
        <v>41</v>
      </c>
      <c r="E157" s="4">
        <v>14</v>
      </c>
      <c r="F157" s="4">
        <v>2.4</v>
      </c>
      <c r="G157" s="4">
        <v>33.6</v>
      </c>
      <c r="H157" t="s">
        <v>971</v>
      </c>
    </row>
    <row r="158" spans="1:8" ht="15.75" customHeight="1" x14ac:dyDescent="0.3">
      <c r="A158" s="4">
        <v>157</v>
      </c>
      <c r="B158" s="10">
        <v>46026</v>
      </c>
      <c r="C158" s="4">
        <v>205</v>
      </c>
      <c r="D158" s="4">
        <v>42</v>
      </c>
      <c r="E158" s="4">
        <v>4</v>
      </c>
      <c r="F158" s="4">
        <v>2.6</v>
      </c>
      <c r="G158" s="4">
        <v>10.4</v>
      </c>
      <c r="H158" t="s">
        <v>970</v>
      </c>
    </row>
    <row r="159" spans="1:8" ht="15.75" customHeight="1" x14ac:dyDescent="0.3">
      <c r="A159" s="4">
        <v>158</v>
      </c>
      <c r="B159" s="10">
        <v>46091</v>
      </c>
      <c r="C159" s="4">
        <v>475</v>
      </c>
      <c r="D159" s="4">
        <v>27</v>
      </c>
      <c r="E159" s="4">
        <v>20</v>
      </c>
      <c r="F159" s="4">
        <v>1.3</v>
      </c>
      <c r="G159" s="4">
        <v>26</v>
      </c>
      <c r="H159" t="s">
        <v>970</v>
      </c>
    </row>
    <row r="160" spans="1:8" ht="15.75" customHeight="1" x14ac:dyDescent="0.3">
      <c r="A160" s="4">
        <v>159</v>
      </c>
      <c r="B160" s="10">
        <v>46098</v>
      </c>
      <c r="C160" s="4">
        <v>241</v>
      </c>
      <c r="D160" s="4">
        <v>21</v>
      </c>
      <c r="E160" s="4">
        <v>14</v>
      </c>
      <c r="F160" s="4">
        <v>1.4</v>
      </c>
      <c r="G160" s="4">
        <v>19.600000000000001</v>
      </c>
      <c r="H160" t="s">
        <v>971</v>
      </c>
    </row>
    <row r="161" spans="1:8" ht="15.75" customHeight="1" x14ac:dyDescent="0.3">
      <c r="A161" s="4">
        <v>160</v>
      </c>
      <c r="B161" s="10">
        <v>46042</v>
      </c>
      <c r="C161" s="4">
        <v>299</v>
      </c>
      <c r="D161" s="4">
        <v>23</v>
      </c>
      <c r="E161" s="4">
        <v>14</v>
      </c>
      <c r="F161" s="4">
        <v>1.3</v>
      </c>
      <c r="G161" s="4">
        <v>18.2</v>
      </c>
      <c r="H161" t="s">
        <v>970</v>
      </c>
    </row>
    <row r="162" spans="1:8" ht="15.75" customHeight="1" x14ac:dyDescent="0.3">
      <c r="A162" s="4">
        <v>161</v>
      </c>
      <c r="B162" s="10">
        <v>46043</v>
      </c>
      <c r="C162" s="4">
        <v>43</v>
      </c>
      <c r="D162" s="4">
        <v>36</v>
      </c>
      <c r="E162" s="4">
        <v>5</v>
      </c>
      <c r="F162" s="4">
        <v>1.1000000000000001</v>
      </c>
      <c r="G162" s="4">
        <v>5.5</v>
      </c>
      <c r="H162" t="s">
        <v>970</v>
      </c>
    </row>
    <row r="163" spans="1:8" ht="15.75" customHeight="1" x14ac:dyDescent="0.3">
      <c r="A163" s="4">
        <v>162</v>
      </c>
      <c r="B163" s="10">
        <v>46042</v>
      </c>
      <c r="C163" s="4">
        <v>249</v>
      </c>
      <c r="D163" s="4">
        <v>25</v>
      </c>
      <c r="E163" s="4">
        <v>2</v>
      </c>
      <c r="F163" s="4">
        <v>1.4</v>
      </c>
      <c r="G163" s="4">
        <v>2.8</v>
      </c>
      <c r="H163" t="s">
        <v>971</v>
      </c>
    </row>
    <row r="164" spans="1:8" ht="15.75" customHeight="1" x14ac:dyDescent="0.3">
      <c r="A164" s="4">
        <v>163</v>
      </c>
      <c r="B164" s="10">
        <v>46046</v>
      </c>
      <c r="C164" s="4">
        <v>423</v>
      </c>
      <c r="D164" s="4">
        <v>40</v>
      </c>
      <c r="E164" s="4">
        <v>12</v>
      </c>
      <c r="F164" s="4">
        <v>1.9</v>
      </c>
      <c r="G164" s="4">
        <v>22.8</v>
      </c>
      <c r="H164" t="s">
        <v>970</v>
      </c>
    </row>
    <row r="165" spans="1:8" ht="15.75" customHeight="1" x14ac:dyDescent="0.3">
      <c r="A165" s="4">
        <v>164</v>
      </c>
      <c r="B165" s="10">
        <v>46097</v>
      </c>
      <c r="C165" s="4">
        <v>455</v>
      </c>
      <c r="D165" s="4">
        <v>2</v>
      </c>
      <c r="E165" s="4">
        <v>9</v>
      </c>
      <c r="F165" s="4">
        <v>1.75</v>
      </c>
      <c r="G165" s="4">
        <v>15.75</v>
      </c>
      <c r="H165" t="s">
        <v>970</v>
      </c>
    </row>
    <row r="166" spans="1:8" ht="15.75" customHeight="1" x14ac:dyDescent="0.3">
      <c r="A166" s="4">
        <v>165</v>
      </c>
      <c r="B166" s="10">
        <v>46088</v>
      </c>
      <c r="C166" s="4">
        <v>41</v>
      </c>
      <c r="D166" s="4">
        <v>6</v>
      </c>
      <c r="E166" s="4">
        <v>2</v>
      </c>
      <c r="F166" s="4">
        <v>1</v>
      </c>
      <c r="G166" s="4">
        <v>2</v>
      </c>
      <c r="H166" t="s">
        <v>971</v>
      </c>
    </row>
    <row r="167" spans="1:8" ht="15.75" customHeight="1" x14ac:dyDescent="0.3">
      <c r="A167" s="4">
        <v>166</v>
      </c>
      <c r="B167" s="10">
        <v>46104</v>
      </c>
      <c r="C167" s="4">
        <v>349</v>
      </c>
      <c r="D167" s="4">
        <v>6</v>
      </c>
      <c r="E167" s="4">
        <v>5</v>
      </c>
      <c r="F167" s="4">
        <v>1</v>
      </c>
      <c r="G167" s="4">
        <v>5</v>
      </c>
      <c r="H167" t="s">
        <v>971</v>
      </c>
    </row>
    <row r="168" spans="1:8" ht="15.75" customHeight="1" x14ac:dyDescent="0.3">
      <c r="A168" s="4">
        <v>167</v>
      </c>
      <c r="B168" s="10">
        <v>46035</v>
      </c>
      <c r="C168" s="4">
        <v>205</v>
      </c>
      <c r="D168" s="4">
        <v>24</v>
      </c>
      <c r="E168" s="4">
        <v>14</v>
      </c>
      <c r="F168" s="4">
        <v>1.5</v>
      </c>
      <c r="G168" s="4">
        <v>21</v>
      </c>
      <c r="H168" t="s">
        <v>971</v>
      </c>
    </row>
    <row r="169" spans="1:8" ht="15.75" customHeight="1" x14ac:dyDescent="0.3">
      <c r="A169" s="4">
        <v>168</v>
      </c>
      <c r="B169" s="10">
        <v>46048</v>
      </c>
      <c r="C169" s="4">
        <v>81</v>
      </c>
      <c r="D169" s="4">
        <v>13</v>
      </c>
      <c r="E169" s="4">
        <v>19</v>
      </c>
      <c r="F169" s="4">
        <v>0.9</v>
      </c>
      <c r="G169" s="4">
        <v>17.100000000000001</v>
      </c>
      <c r="H169" t="s">
        <v>970</v>
      </c>
    </row>
    <row r="170" spans="1:8" ht="15.75" customHeight="1" x14ac:dyDescent="0.3">
      <c r="A170" s="4">
        <v>169</v>
      </c>
      <c r="B170" s="10">
        <v>46102</v>
      </c>
      <c r="C170" s="4">
        <v>189</v>
      </c>
      <c r="D170" s="4">
        <v>8</v>
      </c>
      <c r="E170" s="4">
        <v>14</v>
      </c>
      <c r="F170" s="4">
        <v>1.5</v>
      </c>
      <c r="G170" s="4">
        <v>21</v>
      </c>
      <c r="H170" t="s">
        <v>970</v>
      </c>
    </row>
    <row r="171" spans="1:8" ht="15.75" customHeight="1" x14ac:dyDescent="0.3">
      <c r="A171" s="4">
        <v>170</v>
      </c>
      <c r="B171" s="10">
        <v>46099</v>
      </c>
      <c r="C171" s="4">
        <v>447</v>
      </c>
      <c r="D171" s="4">
        <v>37</v>
      </c>
      <c r="E171" s="4">
        <v>20</v>
      </c>
      <c r="F171" s="4">
        <v>1.25</v>
      </c>
      <c r="G171" s="4">
        <v>25</v>
      </c>
      <c r="H171" t="s">
        <v>971</v>
      </c>
    </row>
    <row r="172" spans="1:8" ht="15.75" customHeight="1" x14ac:dyDescent="0.3">
      <c r="A172" s="4">
        <v>171</v>
      </c>
      <c r="B172" s="10">
        <v>46024</v>
      </c>
      <c r="C172" s="4">
        <v>88</v>
      </c>
      <c r="D172" s="4">
        <v>6</v>
      </c>
      <c r="E172" s="4">
        <v>8</v>
      </c>
      <c r="F172" s="4">
        <v>1</v>
      </c>
      <c r="G172" s="4">
        <v>8</v>
      </c>
      <c r="H172" t="s">
        <v>970</v>
      </c>
    </row>
    <row r="173" spans="1:8" ht="15.75" customHeight="1" x14ac:dyDescent="0.3">
      <c r="A173" s="4">
        <v>172</v>
      </c>
      <c r="B173" s="10">
        <v>46090</v>
      </c>
      <c r="C173" s="4">
        <v>221</v>
      </c>
      <c r="D173" s="4">
        <v>12</v>
      </c>
      <c r="E173" s="4">
        <v>5</v>
      </c>
      <c r="F173" s="4">
        <v>1</v>
      </c>
      <c r="G173" s="4">
        <v>5</v>
      </c>
      <c r="H173" t="s">
        <v>970</v>
      </c>
    </row>
    <row r="174" spans="1:8" ht="15.75" customHeight="1" x14ac:dyDescent="0.3">
      <c r="A174" s="4">
        <v>173</v>
      </c>
      <c r="B174" s="10">
        <v>46091</v>
      </c>
      <c r="C174" s="4">
        <v>64</v>
      </c>
      <c r="D174" s="4">
        <v>49</v>
      </c>
      <c r="E174" s="4">
        <v>8</v>
      </c>
      <c r="F174" s="4">
        <v>1.4</v>
      </c>
      <c r="G174" s="4">
        <v>11.2</v>
      </c>
      <c r="H174" t="s">
        <v>971</v>
      </c>
    </row>
    <row r="175" spans="1:8" ht="15.75" customHeight="1" x14ac:dyDescent="0.3">
      <c r="A175" s="4">
        <v>174</v>
      </c>
      <c r="B175" s="10">
        <v>46032</v>
      </c>
      <c r="C175" s="4">
        <v>257</v>
      </c>
      <c r="D175" s="4">
        <v>20</v>
      </c>
      <c r="E175" s="4">
        <v>2</v>
      </c>
      <c r="F175" s="4">
        <v>0.3</v>
      </c>
      <c r="G175" s="4">
        <v>0.6</v>
      </c>
      <c r="H175" t="s">
        <v>970</v>
      </c>
    </row>
    <row r="176" spans="1:8" ht="15.75" customHeight="1" x14ac:dyDescent="0.3">
      <c r="A176" s="4">
        <v>175</v>
      </c>
      <c r="B176" s="10">
        <v>46109</v>
      </c>
      <c r="C176" s="4">
        <v>245</v>
      </c>
      <c r="D176" s="4">
        <v>21</v>
      </c>
      <c r="E176" s="4">
        <v>9</v>
      </c>
      <c r="F176" s="4">
        <v>1.4</v>
      </c>
      <c r="G176" s="4">
        <v>12.6</v>
      </c>
      <c r="H176" t="s">
        <v>970</v>
      </c>
    </row>
    <row r="177" spans="1:8" ht="15.75" customHeight="1" x14ac:dyDescent="0.3">
      <c r="A177" s="4">
        <v>176</v>
      </c>
      <c r="B177" s="10">
        <v>46076</v>
      </c>
      <c r="C177" s="4">
        <v>395</v>
      </c>
      <c r="D177" s="4">
        <v>20</v>
      </c>
      <c r="E177" s="4">
        <v>2</v>
      </c>
      <c r="F177" s="4">
        <v>0.3</v>
      </c>
      <c r="G177" s="4">
        <v>0.6</v>
      </c>
      <c r="H177" t="s">
        <v>971</v>
      </c>
    </row>
    <row r="178" spans="1:8" ht="15.75" customHeight="1" x14ac:dyDescent="0.3">
      <c r="A178" s="4">
        <v>177</v>
      </c>
      <c r="B178" s="10">
        <v>46023</v>
      </c>
      <c r="C178" s="4">
        <v>160</v>
      </c>
      <c r="D178" s="4">
        <v>40</v>
      </c>
      <c r="E178" s="4">
        <v>13</v>
      </c>
      <c r="F178" s="4">
        <v>1.9</v>
      </c>
      <c r="G178" s="4">
        <v>24.7</v>
      </c>
      <c r="H178" t="s">
        <v>970</v>
      </c>
    </row>
    <row r="179" spans="1:8" ht="15.75" customHeight="1" x14ac:dyDescent="0.3">
      <c r="A179" s="4">
        <v>178</v>
      </c>
      <c r="B179" s="10">
        <v>46057</v>
      </c>
      <c r="C179" s="4">
        <v>46</v>
      </c>
      <c r="D179" s="4">
        <v>6</v>
      </c>
      <c r="E179" s="4">
        <v>9</v>
      </c>
      <c r="F179" s="4">
        <v>1</v>
      </c>
      <c r="G179" s="4">
        <v>9</v>
      </c>
      <c r="H179" t="s">
        <v>970</v>
      </c>
    </row>
    <row r="180" spans="1:8" ht="15.75" customHeight="1" x14ac:dyDescent="0.3">
      <c r="A180" s="4">
        <v>179</v>
      </c>
      <c r="B180" s="10">
        <v>46040</v>
      </c>
      <c r="C180" s="4">
        <v>239</v>
      </c>
      <c r="D180" s="4">
        <v>27</v>
      </c>
      <c r="E180" s="4">
        <v>5</v>
      </c>
      <c r="F180" s="4">
        <v>1.3</v>
      </c>
      <c r="G180" s="4">
        <v>6.5</v>
      </c>
      <c r="H180" t="s">
        <v>971</v>
      </c>
    </row>
    <row r="181" spans="1:8" ht="15.75" customHeight="1" x14ac:dyDescent="0.3">
      <c r="A181" s="4">
        <v>180</v>
      </c>
      <c r="B181" s="10">
        <v>46042</v>
      </c>
      <c r="C181" s="4">
        <v>345</v>
      </c>
      <c r="D181" s="4">
        <v>37</v>
      </c>
      <c r="E181" s="4">
        <v>7</v>
      </c>
      <c r="F181" s="4">
        <v>1.25</v>
      </c>
      <c r="G181" s="4">
        <v>8.75</v>
      </c>
      <c r="H181" t="s">
        <v>971</v>
      </c>
    </row>
    <row r="182" spans="1:8" ht="15.75" customHeight="1" x14ac:dyDescent="0.3">
      <c r="A182" s="4">
        <v>181</v>
      </c>
      <c r="B182" s="10">
        <v>46069</v>
      </c>
      <c r="C182" s="4">
        <v>267</v>
      </c>
      <c r="D182" s="4">
        <v>49</v>
      </c>
      <c r="E182" s="4">
        <v>4</v>
      </c>
      <c r="F182" s="4">
        <v>1.4</v>
      </c>
      <c r="G182" s="4">
        <v>5.6</v>
      </c>
      <c r="H182" t="s">
        <v>971</v>
      </c>
    </row>
    <row r="183" spans="1:8" ht="15.75" customHeight="1" x14ac:dyDescent="0.3">
      <c r="A183" s="4">
        <v>182</v>
      </c>
      <c r="B183" s="10">
        <v>46080</v>
      </c>
      <c r="C183" s="4">
        <v>297</v>
      </c>
      <c r="D183" s="4">
        <v>48</v>
      </c>
      <c r="E183" s="4">
        <v>11</v>
      </c>
      <c r="F183" s="4">
        <v>1.1000000000000001</v>
      </c>
      <c r="G183" s="4">
        <v>12.1</v>
      </c>
      <c r="H183" t="s">
        <v>970</v>
      </c>
    </row>
    <row r="184" spans="1:8" ht="15.75" customHeight="1" x14ac:dyDescent="0.3">
      <c r="A184" s="4">
        <v>183</v>
      </c>
      <c r="B184" s="10">
        <v>46043</v>
      </c>
      <c r="C184" s="4">
        <v>138</v>
      </c>
      <c r="D184" s="4">
        <v>8</v>
      </c>
      <c r="E184" s="4">
        <v>7</v>
      </c>
      <c r="F184" s="4">
        <v>1.5</v>
      </c>
      <c r="G184" s="4">
        <v>10.5</v>
      </c>
      <c r="H184" t="s">
        <v>970</v>
      </c>
    </row>
    <row r="185" spans="1:8" ht="15.75" customHeight="1" x14ac:dyDescent="0.3">
      <c r="A185" s="4">
        <v>184</v>
      </c>
      <c r="B185" s="10">
        <v>46104</v>
      </c>
      <c r="C185" s="4">
        <v>143</v>
      </c>
      <c r="D185" s="4">
        <v>41</v>
      </c>
      <c r="E185" s="4">
        <v>7</v>
      </c>
      <c r="F185" s="4">
        <v>2.4</v>
      </c>
      <c r="G185" s="4">
        <v>16.8</v>
      </c>
      <c r="H185" t="s">
        <v>971</v>
      </c>
    </row>
    <row r="186" spans="1:8" ht="15.75" customHeight="1" x14ac:dyDescent="0.3">
      <c r="A186" s="4">
        <v>185</v>
      </c>
      <c r="B186" s="10">
        <v>46055</v>
      </c>
      <c r="C186" s="4">
        <v>26</v>
      </c>
      <c r="D186" s="4">
        <v>16</v>
      </c>
      <c r="E186" s="4">
        <v>11</v>
      </c>
      <c r="F186" s="4">
        <v>0.25</v>
      </c>
      <c r="G186" s="4">
        <v>2.75</v>
      </c>
      <c r="H186" t="s">
        <v>970</v>
      </c>
    </row>
    <row r="187" spans="1:8" ht="15.75" customHeight="1" x14ac:dyDescent="0.3">
      <c r="A187" s="4">
        <v>186</v>
      </c>
      <c r="B187" s="10">
        <v>46048</v>
      </c>
      <c r="C187" s="4">
        <v>369</v>
      </c>
      <c r="D187" s="4">
        <v>35</v>
      </c>
      <c r="E187" s="4">
        <v>9</v>
      </c>
      <c r="F187" s="4">
        <v>1.3</v>
      </c>
      <c r="G187" s="4">
        <v>11.7</v>
      </c>
      <c r="H187" t="s">
        <v>970</v>
      </c>
    </row>
    <row r="188" spans="1:8" ht="15.75" customHeight="1" x14ac:dyDescent="0.3">
      <c r="A188" s="4">
        <v>187</v>
      </c>
      <c r="B188" s="10">
        <v>46098</v>
      </c>
      <c r="C188" s="4">
        <v>144</v>
      </c>
      <c r="D188" s="4">
        <v>48</v>
      </c>
      <c r="E188" s="4">
        <v>15</v>
      </c>
      <c r="F188" s="4">
        <v>1.1000000000000001</v>
      </c>
      <c r="G188" s="4">
        <v>16.5</v>
      </c>
      <c r="H188" t="s">
        <v>971</v>
      </c>
    </row>
    <row r="189" spans="1:8" ht="15.75" customHeight="1" x14ac:dyDescent="0.3">
      <c r="A189" s="4">
        <v>188</v>
      </c>
      <c r="B189" s="10">
        <v>46107</v>
      </c>
      <c r="C189" s="4">
        <v>389</v>
      </c>
      <c r="D189" s="4">
        <v>20</v>
      </c>
      <c r="E189" s="4">
        <v>2</v>
      </c>
      <c r="F189" s="4">
        <v>0.3</v>
      </c>
      <c r="G189" s="4">
        <v>0.6</v>
      </c>
      <c r="H189" t="s">
        <v>970</v>
      </c>
    </row>
    <row r="190" spans="1:8" ht="15.75" customHeight="1" x14ac:dyDescent="0.3">
      <c r="A190" s="4">
        <v>189</v>
      </c>
      <c r="B190" s="10">
        <v>46095</v>
      </c>
      <c r="C190" s="4">
        <v>472</v>
      </c>
      <c r="D190" s="4">
        <v>17</v>
      </c>
      <c r="E190" s="4">
        <v>8</v>
      </c>
      <c r="F190" s="4">
        <v>0.25</v>
      </c>
      <c r="G190" s="4">
        <v>2</v>
      </c>
      <c r="H190" t="s">
        <v>970</v>
      </c>
    </row>
    <row r="191" spans="1:8" ht="15.75" customHeight="1" x14ac:dyDescent="0.3">
      <c r="A191" s="4">
        <v>190</v>
      </c>
      <c r="B191" s="10">
        <v>46098</v>
      </c>
      <c r="C191" s="4">
        <v>401</v>
      </c>
      <c r="D191" s="4">
        <v>47</v>
      </c>
      <c r="E191" s="4">
        <v>14</v>
      </c>
      <c r="F191" s="4">
        <v>1.1499999999999999</v>
      </c>
      <c r="G191" s="4">
        <v>16.100000000000001</v>
      </c>
      <c r="H191" t="s">
        <v>971</v>
      </c>
    </row>
    <row r="192" spans="1:8" ht="15.75" customHeight="1" x14ac:dyDescent="0.3">
      <c r="A192" s="4">
        <v>191</v>
      </c>
      <c r="B192" s="10">
        <v>46079</v>
      </c>
      <c r="C192" s="4">
        <v>341</v>
      </c>
      <c r="D192" s="4">
        <v>16</v>
      </c>
      <c r="E192" s="4">
        <v>4</v>
      </c>
      <c r="F192" s="4">
        <v>0.25</v>
      </c>
      <c r="G192" s="4">
        <v>1</v>
      </c>
      <c r="H192" t="s">
        <v>970</v>
      </c>
    </row>
    <row r="193" spans="1:8" ht="15.75" customHeight="1" x14ac:dyDescent="0.3">
      <c r="A193" s="4">
        <v>192</v>
      </c>
      <c r="B193" s="10">
        <v>46081</v>
      </c>
      <c r="C193" s="4">
        <v>61</v>
      </c>
      <c r="D193" s="4">
        <v>50</v>
      </c>
      <c r="E193" s="4">
        <v>1</v>
      </c>
      <c r="F193" s="4">
        <v>1.6</v>
      </c>
      <c r="G193" s="4">
        <v>1.6</v>
      </c>
      <c r="H193" t="s">
        <v>970</v>
      </c>
    </row>
    <row r="194" spans="1:8" ht="15.75" customHeight="1" x14ac:dyDescent="0.3">
      <c r="A194" s="4">
        <v>193</v>
      </c>
      <c r="B194" s="10">
        <v>46030</v>
      </c>
      <c r="C194" s="4">
        <v>92</v>
      </c>
      <c r="D194" s="4">
        <v>5</v>
      </c>
      <c r="E194" s="4">
        <v>13</v>
      </c>
      <c r="F194" s="4">
        <v>0.75</v>
      </c>
      <c r="G194" s="4">
        <v>9.75</v>
      </c>
      <c r="H194" t="s">
        <v>971</v>
      </c>
    </row>
    <row r="195" spans="1:8" ht="15.75" customHeight="1" x14ac:dyDescent="0.3">
      <c r="A195" s="4">
        <v>194</v>
      </c>
      <c r="B195" s="10">
        <v>46048</v>
      </c>
      <c r="C195" s="4">
        <v>403</v>
      </c>
      <c r="D195" s="4">
        <v>6</v>
      </c>
      <c r="E195" s="4">
        <v>4</v>
      </c>
      <c r="F195" s="4">
        <v>1</v>
      </c>
      <c r="G195" s="4">
        <v>4</v>
      </c>
      <c r="H195" t="s">
        <v>971</v>
      </c>
    </row>
    <row r="196" spans="1:8" ht="15.75" customHeight="1" x14ac:dyDescent="0.3">
      <c r="A196" s="4">
        <v>195</v>
      </c>
      <c r="B196" s="10">
        <v>46061</v>
      </c>
      <c r="C196" s="4">
        <v>186</v>
      </c>
      <c r="D196" s="4">
        <v>25</v>
      </c>
      <c r="E196" s="4">
        <v>6</v>
      </c>
      <c r="F196" s="4">
        <v>1.4</v>
      </c>
      <c r="G196" s="4">
        <v>8.4</v>
      </c>
      <c r="H196" t="s">
        <v>971</v>
      </c>
    </row>
    <row r="197" spans="1:8" ht="15.75" customHeight="1" x14ac:dyDescent="0.3">
      <c r="A197" s="4">
        <v>196</v>
      </c>
      <c r="B197" s="10">
        <v>46083</v>
      </c>
      <c r="C197" s="4">
        <v>124</v>
      </c>
      <c r="D197" s="4">
        <v>8</v>
      </c>
      <c r="E197" s="4">
        <v>15</v>
      </c>
      <c r="F197" s="4">
        <v>1.5</v>
      </c>
      <c r="G197" s="4">
        <v>22.5</v>
      </c>
      <c r="H197" t="s">
        <v>970</v>
      </c>
    </row>
    <row r="198" spans="1:8" ht="15.75" customHeight="1" x14ac:dyDescent="0.3">
      <c r="A198" s="4">
        <v>197</v>
      </c>
      <c r="B198" s="10">
        <v>46065</v>
      </c>
      <c r="C198" s="4">
        <v>6</v>
      </c>
      <c r="D198" s="4">
        <v>7</v>
      </c>
      <c r="E198" s="4">
        <v>16</v>
      </c>
      <c r="F198" s="4">
        <v>0.25</v>
      </c>
      <c r="G198" s="4">
        <v>4</v>
      </c>
      <c r="H198" t="s">
        <v>970</v>
      </c>
    </row>
    <row r="199" spans="1:8" ht="15.75" customHeight="1" x14ac:dyDescent="0.3">
      <c r="A199" s="4">
        <v>198</v>
      </c>
      <c r="B199" s="10">
        <v>46035</v>
      </c>
      <c r="C199" s="4">
        <v>256</v>
      </c>
      <c r="D199" s="4">
        <v>50</v>
      </c>
      <c r="E199" s="4">
        <v>14</v>
      </c>
      <c r="F199" s="4">
        <v>1.6</v>
      </c>
      <c r="G199" s="4">
        <v>22.4</v>
      </c>
      <c r="H199" t="s">
        <v>971</v>
      </c>
    </row>
    <row r="200" spans="1:8" ht="15.75" customHeight="1" x14ac:dyDescent="0.3">
      <c r="A200" s="4">
        <v>199</v>
      </c>
      <c r="B200" s="10">
        <v>46033</v>
      </c>
      <c r="C200" s="4">
        <v>61</v>
      </c>
      <c r="D200" s="4">
        <v>4</v>
      </c>
      <c r="E200" s="4">
        <v>16</v>
      </c>
      <c r="F200" s="4">
        <v>1.5</v>
      </c>
      <c r="G200" s="4">
        <v>24</v>
      </c>
      <c r="H200" t="s">
        <v>970</v>
      </c>
    </row>
    <row r="201" spans="1:8" ht="15.75" customHeight="1" x14ac:dyDescent="0.3">
      <c r="A201" s="4">
        <v>200</v>
      </c>
      <c r="B201" s="10">
        <v>46069</v>
      </c>
      <c r="C201" s="4">
        <v>121</v>
      </c>
      <c r="D201" s="4">
        <v>18</v>
      </c>
      <c r="E201" s="4">
        <v>13</v>
      </c>
      <c r="F201" s="4">
        <v>0.3</v>
      </c>
      <c r="G201" s="4">
        <v>3.9</v>
      </c>
      <c r="H201" t="s">
        <v>970</v>
      </c>
    </row>
    <row r="202" spans="1:8" ht="15.75" customHeight="1" x14ac:dyDescent="0.3">
      <c r="A202" s="4">
        <v>201</v>
      </c>
      <c r="B202" s="10">
        <v>46043</v>
      </c>
      <c r="C202" s="4">
        <v>136</v>
      </c>
      <c r="D202" s="4">
        <v>16</v>
      </c>
      <c r="E202" s="4">
        <v>17</v>
      </c>
      <c r="F202" s="4">
        <v>0.25</v>
      </c>
      <c r="G202" s="4">
        <v>4.25</v>
      </c>
      <c r="H202" t="s">
        <v>971</v>
      </c>
    </row>
    <row r="203" spans="1:8" ht="15.75" customHeight="1" x14ac:dyDescent="0.3">
      <c r="A203" s="4">
        <v>202</v>
      </c>
      <c r="B203" s="10">
        <v>46025</v>
      </c>
      <c r="C203" s="4">
        <v>485</v>
      </c>
      <c r="D203" s="4">
        <v>5</v>
      </c>
      <c r="E203" s="4">
        <v>15</v>
      </c>
      <c r="F203" s="4">
        <v>0.75</v>
      </c>
      <c r="G203" s="4">
        <v>11.25</v>
      </c>
      <c r="H203" t="s">
        <v>970</v>
      </c>
    </row>
    <row r="204" spans="1:8" ht="15.75" customHeight="1" x14ac:dyDescent="0.3">
      <c r="A204" s="4">
        <v>203</v>
      </c>
      <c r="B204" s="10">
        <v>46101</v>
      </c>
      <c r="C204" s="4">
        <v>451</v>
      </c>
      <c r="D204" s="4">
        <v>38</v>
      </c>
      <c r="E204" s="4">
        <v>6</v>
      </c>
      <c r="F204" s="4">
        <v>2.1</v>
      </c>
      <c r="G204" s="4">
        <v>12.6</v>
      </c>
      <c r="H204" t="s">
        <v>970</v>
      </c>
    </row>
    <row r="205" spans="1:8" ht="15.75" customHeight="1" x14ac:dyDescent="0.3">
      <c r="A205" s="4">
        <v>204</v>
      </c>
      <c r="B205" s="10">
        <v>46031</v>
      </c>
      <c r="C205" s="4">
        <v>2</v>
      </c>
      <c r="D205" s="4">
        <v>4</v>
      </c>
      <c r="E205" s="4">
        <v>17</v>
      </c>
      <c r="F205" s="4">
        <v>1.5</v>
      </c>
      <c r="G205" s="4">
        <v>25.5</v>
      </c>
      <c r="H205" t="s">
        <v>971</v>
      </c>
    </row>
    <row r="206" spans="1:8" ht="15.75" customHeight="1" x14ac:dyDescent="0.3">
      <c r="A206" s="4">
        <v>205</v>
      </c>
      <c r="B206" s="10">
        <v>46070</v>
      </c>
      <c r="C206" s="4">
        <v>253</v>
      </c>
      <c r="D206" s="4">
        <v>2</v>
      </c>
      <c r="E206" s="4">
        <v>12</v>
      </c>
      <c r="F206" s="4">
        <v>1.75</v>
      </c>
      <c r="G206" s="4">
        <v>21</v>
      </c>
      <c r="H206" t="s">
        <v>970</v>
      </c>
    </row>
    <row r="207" spans="1:8" ht="15.75" customHeight="1" x14ac:dyDescent="0.3">
      <c r="A207" s="4">
        <v>206</v>
      </c>
      <c r="B207" s="10">
        <v>46102</v>
      </c>
      <c r="C207" s="4">
        <v>102</v>
      </c>
      <c r="D207" s="4">
        <v>36</v>
      </c>
      <c r="E207" s="4">
        <v>18</v>
      </c>
      <c r="F207" s="4">
        <v>1.1000000000000001</v>
      </c>
      <c r="G207" s="4">
        <v>19.8</v>
      </c>
      <c r="H207" t="s">
        <v>970</v>
      </c>
    </row>
    <row r="208" spans="1:8" ht="15.75" customHeight="1" x14ac:dyDescent="0.3">
      <c r="A208" s="4">
        <v>207</v>
      </c>
      <c r="B208" s="10">
        <v>46072</v>
      </c>
      <c r="C208" s="4">
        <v>177</v>
      </c>
      <c r="D208" s="4">
        <v>9</v>
      </c>
      <c r="E208" s="4">
        <v>17</v>
      </c>
      <c r="F208" s="4">
        <v>1.7</v>
      </c>
      <c r="G208" s="4">
        <v>28.9</v>
      </c>
      <c r="H208" t="s">
        <v>971</v>
      </c>
    </row>
    <row r="209" spans="1:8" ht="15.75" customHeight="1" x14ac:dyDescent="0.3">
      <c r="A209" s="4">
        <v>208</v>
      </c>
      <c r="B209" s="10">
        <v>46030</v>
      </c>
      <c r="C209" s="4">
        <v>273</v>
      </c>
      <c r="D209" s="4">
        <v>8</v>
      </c>
      <c r="E209" s="4">
        <v>13</v>
      </c>
      <c r="F209" s="4">
        <v>1.5</v>
      </c>
      <c r="G209" s="4">
        <v>19.5</v>
      </c>
      <c r="H209" t="s">
        <v>971</v>
      </c>
    </row>
    <row r="210" spans="1:8" ht="15.75" customHeight="1" x14ac:dyDescent="0.3">
      <c r="A210" s="4">
        <v>209</v>
      </c>
      <c r="B210" s="10">
        <v>46053</v>
      </c>
      <c r="C210" s="4">
        <v>351</v>
      </c>
      <c r="D210" s="4">
        <v>36</v>
      </c>
      <c r="E210" s="4">
        <v>1</v>
      </c>
      <c r="F210" s="4">
        <v>1.1000000000000001</v>
      </c>
      <c r="G210" s="4">
        <v>1.1000000000000001</v>
      </c>
      <c r="H210" t="s">
        <v>971</v>
      </c>
    </row>
    <row r="211" spans="1:8" ht="15.75" customHeight="1" x14ac:dyDescent="0.3">
      <c r="A211" s="4">
        <v>210</v>
      </c>
      <c r="B211" s="10">
        <v>46049</v>
      </c>
      <c r="C211" s="4">
        <v>280</v>
      </c>
      <c r="D211" s="4">
        <v>34</v>
      </c>
      <c r="E211" s="4">
        <v>16</v>
      </c>
      <c r="F211" s="4">
        <v>1.25</v>
      </c>
      <c r="G211" s="4">
        <v>20</v>
      </c>
      <c r="H211" t="s">
        <v>970</v>
      </c>
    </row>
    <row r="212" spans="1:8" ht="15.75" customHeight="1" x14ac:dyDescent="0.3">
      <c r="A212" s="4">
        <v>211</v>
      </c>
      <c r="B212" s="10">
        <v>46080</v>
      </c>
      <c r="C212" s="4">
        <v>118</v>
      </c>
      <c r="D212" s="4">
        <v>25</v>
      </c>
      <c r="E212" s="4">
        <v>6</v>
      </c>
      <c r="F212" s="4">
        <v>1.4</v>
      </c>
      <c r="G212" s="4">
        <v>8.4</v>
      </c>
      <c r="H212" t="s">
        <v>970</v>
      </c>
    </row>
    <row r="213" spans="1:8" ht="15.75" customHeight="1" x14ac:dyDescent="0.3">
      <c r="A213" s="4">
        <v>212</v>
      </c>
      <c r="B213" s="10">
        <v>46049</v>
      </c>
      <c r="C213" s="4">
        <v>368</v>
      </c>
      <c r="D213" s="4">
        <v>39</v>
      </c>
      <c r="E213" s="4">
        <v>6</v>
      </c>
      <c r="F213" s="4">
        <v>2.1</v>
      </c>
      <c r="G213" s="4">
        <v>12.6</v>
      </c>
      <c r="H213" t="s">
        <v>971</v>
      </c>
    </row>
    <row r="214" spans="1:8" ht="15.75" customHeight="1" x14ac:dyDescent="0.3">
      <c r="A214" s="4">
        <v>213</v>
      </c>
      <c r="B214" s="10">
        <v>46098</v>
      </c>
      <c r="C214" s="4">
        <v>246</v>
      </c>
      <c r="D214" s="4">
        <v>6</v>
      </c>
      <c r="E214" s="4">
        <v>1</v>
      </c>
      <c r="F214" s="4">
        <v>1</v>
      </c>
      <c r="G214" s="4">
        <v>1</v>
      </c>
      <c r="H214" t="s">
        <v>970</v>
      </c>
    </row>
    <row r="215" spans="1:8" ht="15.75" customHeight="1" x14ac:dyDescent="0.3">
      <c r="A215" s="4">
        <v>214</v>
      </c>
      <c r="B215" s="10">
        <v>46031</v>
      </c>
      <c r="C215" s="4">
        <v>170</v>
      </c>
      <c r="D215" s="4">
        <v>13</v>
      </c>
      <c r="E215" s="4">
        <v>13</v>
      </c>
      <c r="F215" s="4">
        <v>0.9</v>
      </c>
      <c r="G215" s="4">
        <v>11.7</v>
      </c>
      <c r="H215" t="s">
        <v>970</v>
      </c>
    </row>
    <row r="216" spans="1:8" ht="15.75" customHeight="1" x14ac:dyDescent="0.3">
      <c r="A216" s="4">
        <v>215</v>
      </c>
      <c r="B216" s="10">
        <v>46041</v>
      </c>
      <c r="C216" s="4">
        <v>258</v>
      </c>
      <c r="D216" s="4">
        <v>12</v>
      </c>
      <c r="E216" s="4">
        <v>11</v>
      </c>
      <c r="F216" s="4">
        <v>1</v>
      </c>
      <c r="G216" s="4">
        <v>11</v>
      </c>
      <c r="H216" t="s">
        <v>971</v>
      </c>
    </row>
    <row r="217" spans="1:8" ht="15.75" customHeight="1" x14ac:dyDescent="0.3">
      <c r="A217" s="4">
        <v>216</v>
      </c>
      <c r="B217" s="10">
        <v>46090</v>
      </c>
      <c r="C217" s="4">
        <v>326</v>
      </c>
      <c r="D217" s="4">
        <v>37</v>
      </c>
      <c r="E217" s="4">
        <v>20</v>
      </c>
      <c r="F217" s="4">
        <v>1.25</v>
      </c>
      <c r="G217" s="4">
        <v>25</v>
      </c>
      <c r="H217" t="s">
        <v>970</v>
      </c>
    </row>
    <row r="218" spans="1:8" ht="15.75" customHeight="1" x14ac:dyDescent="0.3">
      <c r="A218" s="4">
        <v>217</v>
      </c>
      <c r="B218" s="10">
        <v>46084</v>
      </c>
      <c r="C218" s="4">
        <v>475</v>
      </c>
      <c r="D218" s="4">
        <v>49</v>
      </c>
      <c r="E218" s="4">
        <v>3</v>
      </c>
      <c r="F218" s="4">
        <v>1.4</v>
      </c>
      <c r="G218" s="4">
        <v>4.2</v>
      </c>
      <c r="H218" t="s">
        <v>970</v>
      </c>
    </row>
    <row r="219" spans="1:8" ht="15.75" customHeight="1" x14ac:dyDescent="0.3">
      <c r="A219" s="4">
        <v>218</v>
      </c>
      <c r="B219" s="10">
        <v>46038</v>
      </c>
      <c r="C219" s="4">
        <v>364</v>
      </c>
      <c r="D219" s="4">
        <v>5</v>
      </c>
      <c r="E219" s="4">
        <v>14</v>
      </c>
      <c r="F219" s="4">
        <v>0.75</v>
      </c>
      <c r="G219" s="4">
        <v>10.5</v>
      </c>
      <c r="H219" t="s">
        <v>971</v>
      </c>
    </row>
    <row r="220" spans="1:8" ht="15.75" customHeight="1" x14ac:dyDescent="0.3">
      <c r="A220" s="4">
        <v>219</v>
      </c>
      <c r="B220" s="10">
        <v>46060</v>
      </c>
      <c r="C220" s="4">
        <v>193</v>
      </c>
      <c r="D220" s="4">
        <v>39</v>
      </c>
      <c r="E220" s="4">
        <v>4</v>
      </c>
      <c r="F220" s="4">
        <v>2.1</v>
      </c>
      <c r="G220" s="4">
        <v>8.4</v>
      </c>
      <c r="H220" t="s">
        <v>970</v>
      </c>
    </row>
    <row r="221" spans="1:8" ht="15.75" customHeight="1" x14ac:dyDescent="0.3">
      <c r="A221" s="4">
        <v>220</v>
      </c>
      <c r="B221" s="10">
        <v>46030</v>
      </c>
      <c r="C221" s="4">
        <v>124</v>
      </c>
      <c r="D221" s="4">
        <v>16</v>
      </c>
      <c r="E221" s="4">
        <v>18</v>
      </c>
      <c r="F221" s="4">
        <v>0.25</v>
      </c>
      <c r="G221" s="4">
        <v>4.5</v>
      </c>
      <c r="H221" t="s">
        <v>970</v>
      </c>
    </row>
    <row r="222" spans="1:8" ht="15.75" customHeight="1" x14ac:dyDescent="0.3">
      <c r="A222" s="4">
        <v>221</v>
      </c>
      <c r="B222" s="10">
        <v>46081</v>
      </c>
      <c r="C222" s="4">
        <v>336</v>
      </c>
      <c r="D222" s="4">
        <v>21</v>
      </c>
      <c r="E222" s="4">
        <v>19</v>
      </c>
      <c r="F222" s="4">
        <v>1.4</v>
      </c>
      <c r="G222" s="4">
        <v>26.6</v>
      </c>
      <c r="H222" t="s">
        <v>971</v>
      </c>
    </row>
    <row r="223" spans="1:8" ht="15.75" customHeight="1" x14ac:dyDescent="0.3">
      <c r="A223" s="4">
        <v>222</v>
      </c>
      <c r="B223" s="10">
        <v>46028</v>
      </c>
      <c r="C223" s="4">
        <v>314</v>
      </c>
      <c r="D223" s="4">
        <v>39</v>
      </c>
      <c r="E223" s="4">
        <v>4</v>
      </c>
      <c r="F223" s="4">
        <v>2.1</v>
      </c>
      <c r="G223" s="4">
        <v>8.4</v>
      </c>
      <c r="H223" t="s">
        <v>971</v>
      </c>
    </row>
    <row r="224" spans="1:8" ht="15.75" customHeight="1" x14ac:dyDescent="0.3">
      <c r="A224" s="4">
        <v>223</v>
      </c>
      <c r="B224" s="10">
        <v>46027</v>
      </c>
      <c r="C224" s="4">
        <v>163</v>
      </c>
      <c r="D224" s="4">
        <v>4</v>
      </c>
      <c r="E224" s="4">
        <v>19</v>
      </c>
      <c r="F224" s="4">
        <v>1.5</v>
      </c>
      <c r="G224" s="4">
        <v>28.5</v>
      </c>
      <c r="H224" t="s">
        <v>971</v>
      </c>
    </row>
    <row r="225" spans="1:8" ht="15.75" customHeight="1" x14ac:dyDescent="0.3">
      <c r="A225" s="4">
        <v>224</v>
      </c>
      <c r="B225" s="10">
        <v>46078</v>
      </c>
      <c r="C225" s="4">
        <v>401</v>
      </c>
      <c r="D225" s="4">
        <v>44</v>
      </c>
      <c r="E225" s="4">
        <v>19</v>
      </c>
      <c r="F225" s="4">
        <v>3.2</v>
      </c>
      <c r="G225" s="4">
        <v>60.8</v>
      </c>
      <c r="H225" t="s">
        <v>970</v>
      </c>
    </row>
    <row r="226" spans="1:8" ht="15.75" customHeight="1" x14ac:dyDescent="0.3">
      <c r="A226" s="4">
        <v>225</v>
      </c>
      <c r="B226" s="10">
        <v>46099</v>
      </c>
      <c r="C226" s="4">
        <v>108</v>
      </c>
      <c r="D226" s="4">
        <v>37</v>
      </c>
      <c r="E226" s="4">
        <v>1</v>
      </c>
      <c r="F226" s="4">
        <v>1.25</v>
      </c>
      <c r="G226" s="4">
        <v>1.25</v>
      </c>
      <c r="H226" t="s">
        <v>970</v>
      </c>
    </row>
    <row r="227" spans="1:8" ht="15.75" customHeight="1" x14ac:dyDescent="0.3">
      <c r="A227" s="4">
        <v>226</v>
      </c>
      <c r="B227" s="10">
        <v>46113</v>
      </c>
      <c r="C227" s="4">
        <v>318</v>
      </c>
      <c r="D227" s="4">
        <v>10</v>
      </c>
      <c r="E227" s="4">
        <v>15</v>
      </c>
      <c r="F227" s="4">
        <v>1.75</v>
      </c>
      <c r="G227" s="4">
        <v>26.25</v>
      </c>
      <c r="H227" t="s">
        <v>971</v>
      </c>
    </row>
    <row r="228" spans="1:8" ht="15.75" customHeight="1" x14ac:dyDescent="0.3">
      <c r="A228" s="4">
        <v>227</v>
      </c>
      <c r="B228" s="10">
        <v>46094</v>
      </c>
      <c r="C228" s="4">
        <v>133</v>
      </c>
      <c r="D228" s="4">
        <v>47</v>
      </c>
      <c r="E228" s="4">
        <v>13</v>
      </c>
      <c r="F228" s="4">
        <v>1.1499999999999999</v>
      </c>
      <c r="G228" s="4">
        <v>14.95</v>
      </c>
      <c r="H228" t="s">
        <v>970</v>
      </c>
    </row>
    <row r="229" spans="1:8" ht="15.75" customHeight="1" x14ac:dyDescent="0.3">
      <c r="A229" s="4">
        <v>228</v>
      </c>
      <c r="B229" s="10">
        <v>46040</v>
      </c>
      <c r="C229" s="4">
        <v>368</v>
      </c>
      <c r="D229" s="4">
        <v>3</v>
      </c>
      <c r="E229" s="4">
        <v>19</v>
      </c>
      <c r="F229" s="4">
        <v>1.5</v>
      </c>
      <c r="G229" s="4">
        <v>28.5</v>
      </c>
      <c r="H229" t="s">
        <v>970</v>
      </c>
    </row>
    <row r="230" spans="1:8" ht="15.75" customHeight="1" x14ac:dyDescent="0.3">
      <c r="A230" s="4">
        <v>229</v>
      </c>
      <c r="B230" s="10">
        <v>46088</v>
      </c>
      <c r="C230" s="4">
        <v>478</v>
      </c>
      <c r="D230" s="4">
        <v>17</v>
      </c>
      <c r="E230" s="4">
        <v>11</v>
      </c>
      <c r="F230" s="4">
        <v>0.25</v>
      </c>
      <c r="G230" s="4">
        <v>2.75</v>
      </c>
      <c r="H230" t="s">
        <v>971</v>
      </c>
    </row>
    <row r="231" spans="1:8" ht="15.75" customHeight="1" x14ac:dyDescent="0.3">
      <c r="A231" s="4">
        <v>230</v>
      </c>
      <c r="B231" s="10">
        <v>46093</v>
      </c>
      <c r="C231" s="4">
        <v>210</v>
      </c>
      <c r="D231" s="4">
        <v>40</v>
      </c>
      <c r="E231" s="4">
        <v>1</v>
      </c>
      <c r="F231" s="4">
        <v>1.9</v>
      </c>
      <c r="G231" s="4">
        <v>1.9</v>
      </c>
      <c r="H231" t="s">
        <v>970</v>
      </c>
    </row>
    <row r="232" spans="1:8" ht="15.75" customHeight="1" x14ac:dyDescent="0.3">
      <c r="A232" s="4">
        <v>231</v>
      </c>
      <c r="B232" s="10">
        <v>46060</v>
      </c>
      <c r="C232" s="4">
        <v>54</v>
      </c>
      <c r="D232" s="4">
        <v>30</v>
      </c>
      <c r="E232" s="4">
        <v>19</v>
      </c>
      <c r="F232" s="4">
        <v>2.2000000000000002</v>
      </c>
      <c r="G232" s="4">
        <v>41.8</v>
      </c>
      <c r="H232" t="s">
        <v>970</v>
      </c>
    </row>
    <row r="233" spans="1:8" ht="15.75" customHeight="1" x14ac:dyDescent="0.3">
      <c r="A233" s="4">
        <v>232</v>
      </c>
      <c r="B233" s="10">
        <v>46069</v>
      </c>
      <c r="C233" s="4">
        <v>436</v>
      </c>
      <c r="D233" s="4">
        <v>28</v>
      </c>
      <c r="E233" s="4">
        <v>2</v>
      </c>
      <c r="F233" s="4">
        <v>0.85</v>
      </c>
      <c r="G233" s="4">
        <v>1.7</v>
      </c>
      <c r="H233" t="s">
        <v>971</v>
      </c>
    </row>
    <row r="234" spans="1:8" ht="15.75" customHeight="1" x14ac:dyDescent="0.3">
      <c r="A234" s="4">
        <v>233</v>
      </c>
      <c r="B234" s="10">
        <v>46064</v>
      </c>
      <c r="C234" s="4">
        <v>240</v>
      </c>
      <c r="D234" s="4">
        <v>7</v>
      </c>
      <c r="E234" s="4">
        <v>12</v>
      </c>
      <c r="F234" s="4">
        <v>0.25</v>
      </c>
      <c r="G234" s="4">
        <v>3</v>
      </c>
      <c r="H234" t="s">
        <v>970</v>
      </c>
    </row>
    <row r="235" spans="1:8" ht="15.75" customHeight="1" x14ac:dyDescent="0.3">
      <c r="A235" s="4">
        <v>234</v>
      </c>
      <c r="B235" s="10">
        <v>46037</v>
      </c>
      <c r="C235" s="4">
        <v>147</v>
      </c>
      <c r="D235" s="4">
        <v>50</v>
      </c>
      <c r="E235" s="4">
        <v>19</v>
      </c>
      <c r="F235" s="4">
        <v>1.6</v>
      </c>
      <c r="G235" s="4">
        <v>30.4</v>
      </c>
      <c r="H235" t="s">
        <v>970</v>
      </c>
    </row>
    <row r="236" spans="1:8" ht="15.75" customHeight="1" x14ac:dyDescent="0.3">
      <c r="A236" s="4">
        <v>235</v>
      </c>
      <c r="B236" s="10">
        <v>46074</v>
      </c>
      <c r="C236" s="4">
        <v>226</v>
      </c>
      <c r="D236" s="4">
        <v>35</v>
      </c>
      <c r="E236" s="4">
        <v>16</v>
      </c>
      <c r="F236" s="4">
        <v>1.3</v>
      </c>
      <c r="G236" s="4">
        <v>20.8</v>
      </c>
      <c r="H236" t="s">
        <v>971</v>
      </c>
    </row>
    <row r="237" spans="1:8" ht="15.75" customHeight="1" x14ac:dyDescent="0.3">
      <c r="A237" s="4">
        <v>236</v>
      </c>
      <c r="B237" s="10">
        <v>46042</v>
      </c>
      <c r="C237" s="4">
        <v>205</v>
      </c>
      <c r="D237" s="4">
        <v>41</v>
      </c>
      <c r="E237" s="4">
        <v>15</v>
      </c>
      <c r="F237" s="4">
        <v>2.4</v>
      </c>
      <c r="G237" s="4">
        <v>36</v>
      </c>
      <c r="H237" t="s">
        <v>971</v>
      </c>
    </row>
    <row r="238" spans="1:8" ht="15.75" customHeight="1" x14ac:dyDescent="0.3">
      <c r="A238" s="4">
        <v>237</v>
      </c>
      <c r="B238" s="10">
        <v>46064</v>
      </c>
      <c r="C238" s="4">
        <v>326</v>
      </c>
      <c r="D238" s="4">
        <v>7</v>
      </c>
      <c r="E238" s="4">
        <v>8</v>
      </c>
      <c r="F238" s="4">
        <v>0.25</v>
      </c>
      <c r="G238" s="4">
        <v>2</v>
      </c>
      <c r="H238" t="s">
        <v>971</v>
      </c>
    </row>
    <row r="239" spans="1:8" ht="15.75" customHeight="1" x14ac:dyDescent="0.3">
      <c r="A239" s="4">
        <v>238</v>
      </c>
      <c r="B239" s="10">
        <v>46081</v>
      </c>
      <c r="C239" s="4">
        <v>259</v>
      </c>
      <c r="D239" s="4">
        <v>7</v>
      </c>
      <c r="E239" s="4">
        <v>4</v>
      </c>
      <c r="F239" s="4">
        <v>0.25</v>
      </c>
      <c r="G239" s="4">
        <v>1</v>
      </c>
      <c r="H239" t="s">
        <v>970</v>
      </c>
    </row>
    <row r="240" spans="1:8" ht="15.75" customHeight="1" x14ac:dyDescent="0.3">
      <c r="A240" s="4">
        <v>239</v>
      </c>
      <c r="B240" s="10">
        <v>46098</v>
      </c>
      <c r="C240" s="4">
        <v>471</v>
      </c>
      <c r="D240" s="4">
        <v>22</v>
      </c>
      <c r="E240" s="4">
        <v>6</v>
      </c>
      <c r="F240" s="4">
        <v>1.2</v>
      </c>
      <c r="G240" s="4">
        <v>7.2</v>
      </c>
      <c r="H240" t="s">
        <v>970</v>
      </c>
    </row>
    <row r="241" spans="1:8" ht="15.75" customHeight="1" x14ac:dyDescent="0.3">
      <c r="A241" s="4">
        <v>240</v>
      </c>
      <c r="B241" s="10">
        <v>46025</v>
      </c>
      <c r="C241" s="4">
        <v>358</v>
      </c>
      <c r="D241" s="4">
        <v>5</v>
      </c>
      <c r="E241" s="4">
        <v>3</v>
      </c>
      <c r="F241" s="4">
        <v>0.75</v>
      </c>
      <c r="G241" s="4">
        <v>2.25</v>
      </c>
      <c r="H241" t="s">
        <v>971</v>
      </c>
    </row>
    <row r="242" spans="1:8" ht="15.75" customHeight="1" x14ac:dyDescent="0.3">
      <c r="A242" s="4">
        <v>241</v>
      </c>
      <c r="B242" s="10">
        <v>46043</v>
      </c>
      <c r="C242" s="4">
        <v>499</v>
      </c>
      <c r="D242" s="4">
        <v>38</v>
      </c>
      <c r="E242" s="4">
        <v>5</v>
      </c>
      <c r="F242" s="4">
        <v>2.1</v>
      </c>
      <c r="G242" s="4">
        <v>10.5</v>
      </c>
      <c r="H242" t="s">
        <v>970</v>
      </c>
    </row>
    <row r="243" spans="1:8" ht="15.75" customHeight="1" x14ac:dyDescent="0.3">
      <c r="A243" s="4">
        <v>242</v>
      </c>
      <c r="B243" s="10">
        <v>46060</v>
      </c>
      <c r="C243" s="4">
        <v>411</v>
      </c>
      <c r="D243" s="4">
        <v>25</v>
      </c>
      <c r="E243" s="4">
        <v>11</v>
      </c>
      <c r="F243" s="4">
        <v>1.4</v>
      </c>
      <c r="G243" s="4">
        <v>15.4</v>
      </c>
      <c r="H243" t="s">
        <v>970</v>
      </c>
    </row>
    <row r="244" spans="1:8" ht="15.75" customHeight="1" x14ac:dyDescent="0.3">
      <c r="A244" s="4">
        <v>243</v>
      </c>
      <c r="B244" s="10">
        <v>46026</v>
      </c>
      <c r="C244" s="4">
        <v>214</v>
      </c>
      <c r="D244" s="4">
        <v>33</v>
      </c>
      <c r="E244" s="4">
        <v>14</v>
      </c>
      <c r="F244" s="4">
        <v>1.2</v>
      </c>
      <c r="G244" s="4">
        <v>16.8</v>
      </c>
      <c r="H244" t="s">
        <v>971</v>
      </c>
    </row>
    <row r="245" spans="1:8" ht="15.75" customHeight="1" x14ac:dyDescent="0.3">
      <c r="A245" s="4">
        <v>244</v>
      </c>
      <c r="B245" s="10">
        <v>46037</v>
      </c>
      <c r="C245" s="4">
        <v>495</v>
      </c>
      <c r="D245" s="4">
        <v>15</v>
      </c>
      <c r="E245" s="4">
        <v>4</v>
      </c>
      <c r="F245" s="4">
        <v>0.95</v>
      </c>
      <c r="G245" s="4">
        <v>3.8</v>
      </c>
      <c r="H245" t="s">
        <v>970</v>
      </c>
    </row>
    <row r="246" spans="1:8" ht="15.75" customHeight="1" x14ac:dyDescent="0.3">
      <c r="A246" s="4">
        <v>245</v>
      </c>
      <c r="B246" s="10">
        <v>46083</v>
      </c>
      <c r="C246" s="4">
        <v>195</v>
      </c>
      <c r="D246" s="4">
        <v>1</v>
      </c>
      <c r="E246" s="4">
        <v>19</v>
      </c>
      <c r="F246" s="4">
        <v>1.5</v>
      </c>
      <c r="G246" s="4">
        <v>28.5</v>
      </c>
      <c r="H246" t="s">
        <v>970</v>
      </c>
    </row>
    <row r="247" spans="1:8" ht="15.75" customHeight="1" x14ac:dyDescent="0.3">
      <c r="A247" s="4">
        <v>246</v>
      </c>
      <c r="B247" s="10">
        <v>46025</v>
      </c>
      <c r="C247" s="4">
        <v>407</v>
      </c>
      <c r="D247" s="4">
        <v>16</v>
      </c>
      <c r="E247" s="4">
        <v>15</v>
      </c>
      <c r="F247" s="4">
        <v>0.25</v>
      </c>
      <c r="G247" s="4">
        <v>3.75</v>
      </c>
      <c r="H247" t="s">
        <v>971</v>
      </c>
    </row>
    <row r="248" spans="1:8" ht="15.75" customHeight="1" x14ac:dyDescent="0.3">
      <c r="A248" s="4">
        <v>247</v>
      </c>
      <c r="B248" s="10">
        <v>46046</v>
      </c>
      <c r="C248" s="4">
        <v>295</v>
      </c>
      <c r="D248" s="4">
        <v>46</v>
      </c>
      <c r="E248" s="4">
        <v>12</v>
      </c>
      <c r="F248" s="4">
        <v>1.1000000000000001</v>
      </c>
      <c r="G248" s="4">
        <v>13.2</v>
      </c>
      <c r="H248" t="s">
        <v>970</v>
      </c>
    </row>
    <row r="249" spans="1:8" ht="15.75" customHeight="1" x14ac:dyDescent="0.3">
      <c r="A249" s="4">
        <v>248</v>
      </c>
      <c r="B249" s="10">
        <v>46049</v>
      </c>
      <c r="C249" s="4">
        <v>78</v>
      </c>
      <c r="D249" s="4">
        <v>42</v>
      </c>
      <c r="E249" s="4">
        <v>11</v>
      </c>
      <c r="F249" s="4">
        <v>2.6</v>
      </c>
      <c r="G249" s="4">
        <v>28.6</v>
      </c>
      <c r="H249" t="s">
        <v>970</v>
      </c>
    </row>
    <row r="250" spans="1:8" ht="15.75" customHeight="1" x14ac:dyDescent="0.3">
      <c r="A250" s="4">
        <v>249</v>
      </c>
      <c r="B250" s="10">
        <v>46038</v>
      </c>
      <c r="C250" s="4">
        <v>414</v>
      </c>
      <c r="D250" s="4">
        <v>10</v>
      </c>
      <c r="E250" s="4">
        <v>8</v>
      </c>
      <c r="F250" s="4">
        <v>1.75</v>
      </c>
      <c r="G250" s="4">
        <v>14</v>
      </c>
      <c r="H250" t="s">
        <v>971</v>
      </c>
    </row>
    <row r="251" spans="1:8" ht="15.75" customHeight="1" x14ac:dyDescent="0.3">
      <c r="A251" s="4">
        <v>250</v>
      </c>
      <c r="B251" s="10">
        <v>46080</v>
      </c>
      <c r="C251" s="4">
        <v>499</v>
      </c>
      <c r="D251" s="4">
        <v>30</v>
      </c>
      <c r="E251" s="4">
        <v>17</v>
      </c>
      <c r="F251" s="4">
        <v>2.2000000000000002</v>
      </c>
      <c r="G251" s="4">
        <v>37.4</v>
      </c>
      <c r="H251" t="s">
        <v>971</v>
      </c>
    </row>
    <row r="252" spans="1:8" ht="15.75" customHeight="1" x14ac:dyDescent="0.3">
      <c r="A252" s="4">
        <v>251</v>
      </c>
      <c r="B252" s="10">
        <v>46046</v>
      </c>
      <c r="C252" s="4">
        <v>306</v>
      </c>
      <c r="D252" s="4">
        <v>13</v>
      </c>
      <c r="E252" s="4">
        <v>14</v>
      </c>
      <c r="F252" s="4">
        <v>0.9</v>
      </c>
      <c r="G252" s="4">
        <v>12.6</v>
      </c>
      <c r="H252" t="s">
        <v>971</v>
      </c>
    </row>
    <row r="253" spans="1:8" ht="15.75" customHeight="1" x14ac:dyDescent="0.3">
      <c r="A253" s="4">
        <v>252</v>
      </c>
      <c r="B253" s="10">
        <v>46108</v>
      </c>
      <c r="C253" s="4">
        <v>366</v>
      </c>
      <c r="D253" s="4">
        <v>7</v>
      </c>
      <c r="E253" s="4">
        <v>17</v>
      </c>
      <c r="F253" s="4">
        <v>0.25</v>
      </c>
      <c r="G253" s="4">
        <v>4.25</v>
      </c>
      <c r="H253" t="s">
        <v>970</v>
      </c>
    </row>
    <row r="254" spans="1:8" ht="15.75" customHeight="1" x14ac:dyDescent="0.3">
      <c r="A254" s="4">
        <v>253</v>
      </c>
      <c r="B254" s="10">
        <v>46027</v>
      </c>
      <c r="C254" s="4">
        <v>90</v>
      </c>
      <c r="D254" s="4">
        <v>35</v>
      </c>
      <c r="E254" s="4">
        <v>20</v>
      </c>
      <c r="F254" s="4">
        <v>1.3</v>
      </c>
      <c r="G254" s="4">
        <v>26</v>
      </c>
      <c r="H254" t="s">
        <v>970</v>
      </c>
    </row>
    <row r="255" spans="1:8" ht="15.75" customHeight="1" x14ac:dyDescent="0.3">
      <c r="A255" s="4">
        <v>254</v>
      </c>
      <c r="B255" s="10">
        <v>46085</v>
      </c>
      <c r="C255" s="4">
        <v>22</v>
      </c>
      <c r="D255" s="4">
        <v>22</v>
      </c>
      <c r="E255" s="4">
        <v>4</v>
      </c>
      <c r="F255" s="4">
        <v>1.2</v>
      </c>
      <c r="G255" s="4">
        <v>4.8</v>
      </c>
      <c r="H255" t="s">
        <v>971</v>
      </c>
    </row>
    <row r="256" spans="1:8" ht="15.75" customHeight="1" x14ac:dyDescent="0.3">
      <c r="A256" s="4">
        <v>255</v>
      </c>
      <c r="B256" s="10">
        <v>46065</v>
      </c>
      <c r="C256" s="4">
        <v>191</v>
      </c>
      <c r="D256" s="4">
        <v>26</v>
      </c>
      <c r="E256" s="4">
        <v>17</v>
      </c>
      <c r="F256" s="4">
        <v>1.1000000000000001</v>
      </c>
      <c r="G256" s="4">
        <v>18.7</v>
      </c>
      <c r="H256" t="s">
        <v>970</v>
      </c>
    </row>
    <row r="257" spans="1:8" ht="15.75" customHeight="1" x14ac:dyDescent="0.3">
      <c r="A257" s="4">
        <v>256</v>
      </c>
      <c r="B257" s="10">
        <v>46099</v>
      </c>
      <c r="C257" s="4">
        <v>107</v>
      </c>
      <c r="D257" s="4">
        <v>27</v>
      </c>
      <c r="E257" s="4">
        <v>10</v>
      </c>
      <c r="F257" s="4">
        <v>1.3</v>
      </c>
      <c r="G257" s="4">
        <v>13</v>
      </c>
      <c r="H257" t="s">
        <v>970</v>
      </c>
    </row>
    <row r="258" spans="1:8" ht="15.75" customHeight="1" x14ac:dyDescent="0.3">
      <c r="A258" s="4">
        <v>257</v>
      </c>
      <c r="B258" s="10">
        <v>46111</v>
      </c>
      <c r="C258" s="4">
        <v>11</v>
      </c>
      <c r="D258" s="4">
        <v>28</v>
      </c>
      <c r="E258" s="4">
        <v>8</v>
      </c>
      <c r="F258" s="4">
        <v>0.85</v>
      </c>
      <c r="G258" s="4">
        <v>6.8</v>
      </c>
      <c r="H258" t="s">
        <v>971</v>
      </c>
    </row>
    <row r="259" spans="1:8" ht="15.75" customHeight="1" x14ac:dyDescent="0.3">
      <c r="A259" s="4">
        <v>258</v>
      </c>
      <c r="B259" s="10">
        <v>46095</v>
      </c>
      <c r="C259" s="4">
        <v>128</v>
      </c>
      <c r="D259" s="4">
        <v>34</v>
      </c>
      <c r="E259" s="4">
        <v>1</v>
      </c>
      <c r="F259" s="4">
        <v>1.25</v>
      </c>
      <c r="G259" s="4">
        <v>1.25</v>
      </c>
      <c r="H259" t="s">
        <v>970</v>
      </c>
    </row>
    <row r="260" spans="1:8" ht="15.75" customHeight="1" x14ac:dyDescent="0.3">
      <c r="A260" s="4">
        <v>259</v>
      </c>
      <c r="B260" s="10">
        <v>46056</v>
      </c>
      <c r="C260" s="4">
        <v>140</v>
      </c>
      <c r="D260" s="4">
        <v>35</v>
      </c>
      <c r="E260" s="4">
        <v>17</v>
      </c>
      <c r="F260" s="4">
        <v>1.3</v>
      </c>
      <c r="G260" s="4">
        <v>22.1</v>
      </c>
      <c r="H260" t="s">
        <v>970</v>
      </c>
    </row>
    <row r="261" spans="1:8" ht="15.75" customHeight="1" x14ac:dyDescent="0.3">
      <c r="A261" s="4">
        <v>260</v>
      </c>
      <c r="B261" s="10">
        <v>46104</v>
      </c>
      <c r="C261" s="4">
        <v>238</v>
      </c>
      <c r="D261" s="4">
        <v>42</v>
      </c>
      <c r="E261" s="4">
        <v>14</v>
      </c>
      <c r="F261" s="4">
        <v>2.6</v>
      </c>
      <c r="G261" s="4">
        <v>36.4</v>
      </c>
      <c r="H261" t="s">
        <v>971</v>
      </c>
    </row>
    <row r="262" spans="1:8" ht="15.75" customHeight="1" x14ac:dyDescent="0.3">
      <c r="A262" s="4">
        <v>261</v>
      </c>
      <c r="B262" s="10">
        <v>46078</v>
      </c>
      <c r="C262" s="4">
        <v>177</v>
      </c>
      <c r="D262" s="4">
        <v>46</v>
      </c>
      <c r="E262" s="4">
        <v>11</v>
      </c>
      <c r="F262" s="4">
        <v>1.1000000000000001</v>
      </c>
      <c r="G262" s="4">
        <v>12.1</v>
      </c>
      <c r="H262" t="s">
        <v>970</v>
      </c>
    </row>
    <row r="263" spans="1:8" ht="15.75" customHeight="1" x14ac:dyDescent="0.3">
      <c r="A263" s="4">
        <v>262</v>
      </c>
      <c r="B263" s="10">
        <v>46026</v>
      </c>
      <c r="C263" s="4">
        <v>48</v>
      </c>
      <c r="D263" s="4">
        <v>15</v>
      </c>
      <c r="E263" s="4">
        <v>16</v>
      </c>
      <c r="F263" s="4">
        <v>0.95</v>
      </c>
      <c r="G263" s="4">
        <v>15.2</v>
      </c>
      <c r="H263" t="s">
        <v>970</v>
      </c>
    </row>
    <row r="264" spans="1:8" ht="15.75" customHeight="1" x14ac:dyDescent="0.3">
      <c r="A264" s="4">
        <v>263</v>
      </c>
      <c r="B264" s="10">
        <v>46100</v>
      </c>
      <c r="C264" s="4">
        <v>220</v>
      </c>
      <c r="D264" s="4">
        <v>20</v>
      </c>
      <c r="E264" s="4">
        <v>2</v>
      </c>
      <c r="F264" s="4">
        <v>0.3</v>
      </c>
      <c r="G264" s="4">
        <v>0.6</v>
      </c>
      <c r="H264" t="s">
        <v>971</v>
      </c>
    </row>
    <row r="265" spans="1:8" ht="15.75" customHeight="1" x14ac:dyDescent="0.3">
      <c r="A265" s="4">
        <v>264</v>
      </c>
      <c r="B265" s="10">
        <v>46043</v>
      </c>
      <c r="C265" s="4">
        <v>97</v>
      </c>
      <c r="D265" s="4">
        <v>18</v>
      </c>
      <c r="E265" s="4">
        <v>16</v>
      </c>
      <c r="F265" s="4">
        <v>0.3</v>
      </c>
      <c r="G265" s="4">
        <v>4.8</v>
      </c>
      <c r="H265" t="s">
        <v>971</v>
      </c>
    </row>
    <row r="266" spans="1:8" ht="15.75" customHeight="1" x14ac:dyDescent="0.3">
      <c r="A266" s="4">
        <v>265</v>
      </c>
      <c r="B266" s="10">
        <v>46044</v>
      </c>
      <c r="C266" s="4">
        <v>81</v>
      </c>
      <c r="D266" s="4">
        <v>42</v>
      </c>
      <c r="E266" s="4">
        <v>20</v>
      </c>
      <c r="F266" s="4">
        <v>2.6</v>
      </c>
      <c r="G266" s="4">
        <v>52</v>
      </c>
      <c r="H266" t="s">
        <v>971</v>
      </c>
    </row>
    <row r="267" spans="1:8" ht="15.75" customHeight="1" x14ac:dyDescent="0.3">
      <c r="A267" s="4">
        <v>266</v>
      </c>
      <c r="B267" s="10">
        <v>46060</v>
      </c>
      <c r="C267" s="4">
        <v>72</v>
      </c>
      <c r="D267" s="4">
        <v>8</v>
      </c>
      <c r="E267" s="4">
        <v>17</v>
      </c>
      <c r="F267" s="4">
        <v>1.5</v>
      </c>
      <c r="G267" s="4">
        <v>25.5</v>
      </c>
      <c r="H267" t="s">
        <v>970</v>
      </c>
    </row>
    <row r="268" spans="1:8" ht="15.75" customHeight="1" x14ac:dyDescent="0.3">
      <c r="A268" s="4">
        <v>267</v>
      </c>
      <c r="B268" s="10">
        <v>46113</v>
      </c>
      <c r="C268" s="4">
        <v>268</v>
      </c>
      <c r="D268" s="4">
        <v>37</v>
      </c>
      <c r="E268" s="4">
        <v>5</v>
      </c>
      <c r="F268" s="4">
        <v>1.25</v>
      </c>
      <c r="G268" s="4">
        <v>6.25</v>
      </c>
      <c r="H268" t="s">
        <v>970</v>
      </c>
    </row>
    <row r="269" spans="1:8" ht="15.75" customHeight="1" x14ac:dyDescent="0.3">
      <c r="A269" s="4">
        <v>268</v>
      </c>
      <c r="B269" s="10">
        <v>46108</v>
      </c>
      <c r="C269" s="4">
        <v>271</v>
      </c>
      <c r="D269" s="4">
        <v>8</v>
      </c>
      <c r="E269" s="4">
        <v>5</v>
      </c>
      <c r="F269" s="4">
        <v>1.5</v>
      </c>
      <c r="G269" s="4">
        <v>7.5</v>
      </c>
      <c r="H269" t="s">
        <v>971</v>
      </c>
    </row>
    <row r="270" spans="1:8" ht="15.75" customHeight="1" x14ac:dyDescent="0.3">
      <c r="A270" s="4">
        <v>269</v>
      </c>
      <c r="B270" s="10">
        <v>46090</v>
      </c>
      <c r="C270" s="4">
        <v>78</v>
      </c>
      <c r="D270" s="4">
        <v>28</v>
      </c>
      <c r="E270" s="4">
        <v>9</v>
      </c>
      <c r="F270" s="4">
        <v>0.85</v>
      </c>
      <c r="G270" s="4">
        <v>7.65</v>
      </c>
      <c r="H270" t="s">
        <v>970</v>
      </c>
    </row>
    <row r="271" spans="1:8" ht="15.75" customHeight="1" x14ac:dyDescent="0.3">
      <c r="A271" s="4">
        <v>270</v>
      </c>
      <c r="B271" s="10">
        <v>46060</v>
      </c>
      <c r="C271" s="4">
        <v>220</v>
      </c>
      <c r="D271" s="4">
        <v>37</v>
      </c>
      <c r="E271" s="4">
        <v>2</v>
      </c>
      <c r="F271" s="4">
        <v>1.25</v>
      </c>
      <c r="G271" s="4">
        <v>2.5</v>
      </c>
      <c r="H271" t="s">
        <v>970</v>
      </c>
    </row>
    <row r="272" spans="1:8" ht="15.75" customHeight="1" x14ac:dyDescent="0.3">
      <c r="A272" s="4">
        <v>271</v>
      </c>
      <c r="B272" s="10">
        <v>46106</v>
      </c>
      <c r="C272" s="4">
        <v>156</v>
      </c>
      <c r="D272" s="4">
        <v>42</v>
      </c>
      <c r="E272" s="4">
        <v>11</v>
      </c>
      <c r="F272" s="4">
        <v>2.6</v>
      </c>
      <c r="G272" s="4">
        <v>28.6</v>
      </c>
      <c r="H272" t="s">
        <v>971</v>
      </c>
    </row>
    <row r="273" spans="1:8" ht="15.75" customHeight="1" x14ac:dyDescent="0.3">
      <c r="A273" s="4">
        <v>272</v>
      </c>
      <c r="B273" s="10">
        <v>46094</v>
      </c>
      <c r="C273" s="4">
        <v>343</v>
      </c>
      <c r="D273" s="4">
        <v>39</v>
      </c>
      <c r="E273" s="4">
        <v>4</v>
      </c>
      <c r="F273" s="4">
        <v>2.1</v>
      </c>
      <c r="G273" s="4">
        <v>8.4</v>
      </c>
      <c r="H273" t="s">
        <v>970</v>
      </c>
    </row>
    <row r="274" spans="1:8" ht="15.75" customHeight="1" x14ac:dyDescent="0.3">
      <c r="A274" s="4">
        <v>273</v>
      </c>
      <c r="B274" s="10">
        <v>46056</v>
      </c>
      <c r="C274" s="4">
        <v>284</v>
      </c>
      <c r="D274" s="4">
        <v>28</v>
      </c>
      <c r="E274" s="4">
        <v>18</v>
      </c>
      <c r="F274" s="4">
        <v>0.85</v>
      </c>
      <c r="G274" s="4">
        <v>15.3</v>
      </c>
      <c r="H274" t="s">
        <v>970</v>
      </c>
    </row>
    <row r="275" spans="1:8" ht="15.75" customHeight="1" x14ac:dyDescent="0.3">
      <c r="A275" s="4">
        <v>274</v>
      </c>
      <c r="B275" s="10">
        <v>46036</v>
      </c>
      <c r="C275" s="4">
        <v>227</v>
      </c>
      <c r="D275" s="4">
        <v>18</v>
      </c>
      <c r="E275" s="4">
        <v>6</v>
      </c>
      <c r="F275" s="4">
        <v>0.3</v>
      </c>
      <c r="G275" s="4">
        <v>1.8</v>
      </c>
      <c r="H275" t="s">
        <v>971</v>
      </c>
    </row>
    <row r="276" spans="1:8" ht="15.75" customHeight="1" x14ac:dyDescent="0.3">
      <c r="A276" s="4">
        <v>275</v>
      </c>
      <c r="B276" s="10">
        <v>46079</v>
      </c>
      <c r="C276" s="4">
        <v>473</v>
      </c>
      <c r="D276" s="4">
        <v>16</v>
      </c>
      <c r="E276" s="4">
        <v>17</v>
      </c>
      <c r="F276" s="4">
        <v>0.25</v>
      </c>
      <c r="G276" s="4">
        <v>4.25</v>
      </c>
      <c r="H276" t="s">
        <v>970</v>
      </c>
    </row>
    <row r="277" spans="1:8" ht="15.75" customHeight="1" x14ac:dyDescent="0.3">
      <c r="A277" s="4">
        <v>276</v>
      </c>
      <c r="B277" s="10">
        <v>46044</v>
      </c>
      <c r="C277" s="4">
        <v>433</v>
      </c>
      <c r="D277" s="4">
        <v>7</v>
      </c>
      <c r="E277" s="4">
        <v>16</v>
      </c>
      <c r="F277" s="4">
        <v>0.25</v>
      </c>
      <c r="G277" s="4">
        <v>4</v>
      </c>
      <c r="H277" t="s">
        <v>970</v>
      </c>
    </row>
    <row r="278" spans="1:8" ht="15.75" customHeight="1" x14ac:dyDescent="0.3">
      <c r="A278" s="4">
        <v>277</v>
      </c>
      <c r="B278" s="10">
        <v>46037</v>
      </c>
      <c r="C278" s="4">
        <v>421</v>
      </c>
      <c r="D278" s="4">
        <v>37</v>
      </c>
      <c r="E278" s="4">
        <v>11</v>
      </c>
      <c r="F278" s="4">
        <v>1.25</v>
      </c>
      <c r="G278" s="4">
        <v>13.75</v>
      </c>
      <c r="H278" t="s">
        <v>971</v>
      </c>
    </row>
    <row r="279" spans="1:8" ht="15.75" customHeight="1" x14ac:dyDescent="0.3">
      <c r="A279" s="4">
        <v>278</v>
      </c>
      <c r="B279" s="10">
        <v>46081</v>
      </c>
      <c r="C279" s="4">
        <v>124</v>
      </c>
      <c r="D279" s="4">
        <v>34</v>
      </c>
      <c r="E279" s="4">
        <v>5</v>
      </c>
      <c r="F279" s="4">
        <v>1.25</v>
      </c>
      <c r="G279" s="4">
        <v>6.25</v>
      </c>
      <c r="H279" t="s">
        <v>971</v>
      </c>
    </row>
    <row r="280" spans="1:8" ht="15.75" customHeight="1" x14ac:dyDescent="0.3">
      <c r="A280" s="4">
        <v>279</v>
      </c>
      <c r="B280" s="10">
        <v>46073</v>
      </c>
      <c r="C280" s="4">
        <v>472</v>
      </c>
      <c r="D280" s="4">
        <v>41</v>
      </c>
      <c r="E280" s="4">
        <v>8</v>
      </c>
      <c r="F280" s="4">
        <v>2.4</v>
      </c>
      <c r="G280" s="4">
        <v>19.2</v>
      </c>
      <c r="H280" t="s">
        <v>971</v>
      </c>
    </row>
    <row r="281" spans="1:8" ht="15.75" customHeight="1" x14ac:dyDescent="0.3">
      <c r="A281" s="4">
        <v>280</v>
      </c>
      <c r="B281" s="10">
        <v>46095</v>
      </c>
      <c r="C281" s="4">
        <v>29</v>
      </c>
      <c r="D281" s="4">
        <v>31</v>
      </c>
      <c r="E281" s="4">
        <v>8</v>
      </c>
      <c r="F281" s="4">
        <v>0.9</v>
      </c>
      <c r="G281" s="4">
        <v>7.2</v>
      </c>
      <c r="H281" t="s">
        <v>970</v>
      </c>
    </row>
    <row r="282" spans="1:8" ht="15.75" customHeight="1" x14ac:dyDescent="0.3">
      <c r="A282" s="4">
        <v>281</v>
      </c>
      <c r="B282" s="10">
        <v>46052</v>
      </c>
      <c r="C282" s="4">
        <v>30</v>
      </c>
      <c r="D282" s="4">
        <v>23</v>
      </c>
      <c r="E282" s="4">
        <v>1</v>
      </c>
      <c r="F282" s="4">
        <v>1.3</v>
      </c>
      <c r="G282" s="4">
        <v>1.3</v>
      </c>
      <c r="H282" t="s">
        <v>970</v>
      </c>
    </row>
    <row r="283" spans="1:8" ht="15.75" customHeight="1" x14ac:dyDescent="0.3">
      <c r="A283" s="4">
        <v>282</v>
      </c>
      <c r="B283" s="10">
        <v>46101</v>
      </c>
      <c r="C283" s="4">
        <v>37</v>
      </c>
      <c r="D283" s="4">
        <v>5</v>
      </c>
      <c r="E283" s="4">
        <v>8</v>
      </c>
      <c r="F283" s="4">
        <v>0.75</v>
      </c>
      <c r="G283" s="4">
        <v>6</v>
      </c>
      <c r="H283" t="s">
        <v>971</v>
      </c>
    </row>
    <row r="284" spans="1:8" ht="15.75" customHeight="1" x14ac:dyDescent="0.3">
      <c r="A284" s="4">
        <v>283</v>
      </c>
      <c r="B284" s="10">
        <v>46067</v>
      </c>
      <c r="C284" s="4">
        <v>397</v>
      </c>
      <c r="D284" s="4">
        <v>27</v>
      </c>
      <c r="E284" s="4">
        <v>4</v>
      </c>
      <c r="F284" s="4">
        <v>1.3</v>
      </c>
      <c r="G284" s="4">
        <v>5.2</v>
      </c>
      <c r="H284" t="s">
        <v>970</v>
      </c>
    </row>
    <row r="285" spans="1:8" ht="15.75" customHeight="1" x14ac:dyDescent="0.3">
      <c r="A285" s="4">
        <v>284</v>
      </c>
      <c r="B285" s="10">
        <v>46104</v>
      </c>
      <c r="C285" s="4">
        <v>352</v>
      </c>
      <c r="D285" s="4">
        <v>10</v>
      </c>
      <c r="E285" s="4">
        <v>4</v>
      </c>
      <c r="F285" s="4">
        <v>1.75</v>
      </c>
      <c r="G285" s="4">
        <v>7</v>
      </c>
      <c r="H285" t="s">
        <v>970</v>
      </c>
    </row>
    <row r="286" spans="1:8" ht="15.75" customHeight="1" x14ac:dyDescent="0.3">
      <c r="A286" s="4">
        <v>285</v>
      </c>
      <c r="B286" s="10">
        <v>46102</v>
      </c>
      <c r="C286" s="4">
        <v>64</v>
      </c>
      <c r="D286" s="4">
        <v>28</v>
      </c>
      <c r="E286" s="4">
        <v>19</v>
      </c>
      <c r="F286" s="4">
        <v>0.85</v>
      </c>
      <c r="G286" s="4">
        <v>16.149999999999999</v>
      </c>
      <c r="H286" t="s">
        <v>971</v>
      </c>
    </row>
    <row r="287" spans="1:8" ht="15.75" customHeight="1" x14ac:dyDescent="0.3">
      <c r="A287" s="4">
        <v>286</v>
      </c>
      <c r="B287" s="10">
        <v>46083</v>
      </c>
      <c r="C287" s="4">
        <v>459</v>
      </c>
      <c r="D287" s="4">
        <v>4</v>
      </c>
      <c r="E287" s="4">
        <v>5</v>
      </c>
      <c r="F287" s="4">
        <v>1.5</v>
      </c>
      <c r="G287" s="4">
        <v>7.5</v>
      </c>
      <c r="H287" t="s">
        <v>970</v>
      </c>
    </row>
    <row r="288" spans="1:8" ht="15.75" customHeight="1" x14ac:dyDescent="0.3">
      <c r="A288" s="4">
        <v>287</v>
      </c>
      <c r="B288" s="10">
        <v>46029</v>
      </c>
      <c r="C288" s="4">
        <v>290</v>
      </c>
      <c r="D288" s="4">
        <v>41</v>
      </c>
      <c r="E288" s="4">
        <v>18</v>
      </c>
      <c r="F288" s="4">
        <v>2.4</v>
      </c>
      <c r="G288" s="4">
        <v>43.2</v>
      </c>
      <c r="H288" t="s">
        <v>970</v>
      </c>
    </row>
    <row r="289" spans="1:8" ht="15.75" customHeight="1" x14ac:dyDescent="0.3">
      <c r="A289" s="4">
        <v>288</v>
      </c>
      <c r="B289" s="10">
        <v>46023</v>
      </c>
      <c r="C289" s="4">
        <v>279</v>
      </c>
      <c r="D289" s="4">
        <v>50</v>
      </c>
      <c r="E289" s="4">
        <v>3</v>
      </c>
      <c r="F289" s="4">
        <v>1.6</v>
      </c>
      <c r="G289" s="4">
        <v>4.8</v>
      </c>
      <c r="H289" t="s">
        <v>971</v>
      </c>
    </row>
    <row r="290" spans="1:8" ht="15.75" customHeight="1" x14ac:dyDescent="0.3">
      <c r="A290" s="4">
        <v>289</v>
      </c>
      <c r="B290" s="10">
        <v>46048</v>
      </c>
      <c r="C290" s="4">
        <v>97</v>
      </c>
      <c r="D290" s="4">
        <v>23</v>
      </c>
      <c r="E290" s="4">
        <v>16</v>
      </c>
      <c r="F290" s="4">
        <v>1.3</v>
      </c>
      <c r="G290" s="4">
        <v>20.8</v>
      </c>
      <c r="H290" t="s">
        <v>970</v>
      </c>
    </row>
    <row r="291" spans="1:8" ht="15.75" customHeight="1" x14ac:dyDescent="0.3">
      <c r="A291" s="4">
        <v>290</v>
      </c>
      <c r="B291" s="10">
        <v>46026</v>
      </c>
      <c r="C291" s="4">
        <v>7</v>
      </c>
      <c r="D291" s="4">
        <v>32</v>
      </c>
      <c r="E291" s="4">
        <v>5</v>
      </c>
      <c r="F291" s="4">
        <v>1.1000000000000001</v>
      </c>
      <c r="G291" s="4">
        <v>5.5</v>
      </c>
      <c r="H291" t="s">
        <v>970</v>
      </c>
    </row>
    <row r="292" spans="1:8" ht="15.75" customHeight="1" x14ac:dyDescent="0.3">
      <c r="A292" s="4">
        <v>291</v>
      </c>
      <c r="B292" s="10">
        <v>46063</v>
      </c>
      <c r="C292" s="4">
        <v>483</v>
      </c>
      <c r="D292" s="4">
        <v>40</v>
      </c>
      <c r="E292" s="4">
        <v>9</v>
      </c>
      <c r="F292" s="4">
        <v>1.9</v>
      </c>
      <c r="G292" s="4">
        <v>17.100000000000001</v>
      </c>
      <c r="H292" t="s">
        <v>971</v>
      </c>
    </row>
    <row r="293" spans="1:8" ht="15.75" customHeight="1" x14ac:dyDescent="0.3">
      <c r="A293" s="4">
        <v>292</v>
      </c>
      <c r="B293" s="10">
        <v>46059</v>
      </c>
      <c r="C293" s="4">
        <v>354</v>
      </c>
      <c r="D293" s="4">
        <v>40</v>
      </c>
      <c r="E293" s="4">
        <v>8</v>
      </c>
      <c r="F293" s="4">
        <v>1.9</v>
      </c>
      <c r="G293" s="4">
        <v>15.2</v>
      </c>
      <c r="H293" t="s">
        <v>971</v>
      </c>
    </row>
    <row r="294" spans="1:8" ht="15.75" customHeight="1" x14ac:dyDescent="0.3">
      <c r="A294" s="4">
        <v>293</v>
      </c>
      <c r="B294" s="10">
        <v>46072</v>
      </c>
      <c r="C294" s="4">
        <v>435</v>
      </c>
      <c r="D294" s="4">
        <v>26</v>
      </c>
      <c r="E294" s="4">
        <v>20</v>
      </c>
      <c r="F294" s="4">
        <v>1.1000000000000001</v>
      </c>
      <c r="G294" s="4">
        <v>22</v>
      </c>
      <c r="H294" t="s">
        <v>971</v>
      </c>
    </row>
    <row r="295" spans="1:8" ht="15.75" customHeight="1" x14ac:dyDescent="0.3">
      <c r="A295" s="4">
        <v>294</v>
      </c>
      <c r="B295" s="10">
        <v>46070</v>
      </c>
      <c r="C295" s="4">
        <v>103</v>
      </c>
      <c r="D295" s="4">
        <v>6</v>
      </c>
      <c r="E295" s="4">
        <v>6</v>
      </c>
      <c r="F295" s="4">
        <v>1</v>
      </c>
      <c r="G295" s="4">
        <v>6</v>
      </c>
      <c r="H295" t="s">
        <v>970</v>
      </c>
    </row>
    <row r="296" spans="1:8" ht="15.75" customHeight="1" x14ac:dyDescent="0.3">
      <c r="A296" s="4">
        <v>295</v>
      </c>
      <c r="B296" s="10">
        <v>46092</v>
      </c>
      <c r="C296" s="4">
        <v>426</v>
      </c>
      <c r="D296" s="4">
        <v>21</v>
      </c>
      <c r="E296" s="4">
        <v>5</v>
      </c>
      <c r="F296" s="4">
        <v>1.4</v>
      </c>
      <c r="G296" s="4">
        <v>7</v>
      </c>
      <c r="H296" t="s">
        <v>970</v>
      </c>
    </row>
    <row r="297" spans="1:8" ht="15.75" customHeight="1" x14ac:dyDescent="0.3">
      <c r="A297" s="4">
        <v>296</v>
      </c>
      <c r="B297" s="10">
        <v>46088</v>
      </c>
      <c r="C297" s="4">
        <v>369</v>
      </c>
      <c r="D297" s="4">
        <v>47</v>
      </c>
      <c r="E297" s="4">
        <v>7</v>
      </c>
      <c r="F297" s="4">
        <v>1.1499999999999999</v>
      </c>
      <c r="G297" s="4">
        <v>8.0500000000000007</v>
      </c>
      <c r="H297" t="s">
        <v>971</v>
      </c>
    </row>
    <row r="298" spans="1:8" ht="15.75" customHeight="1" x14ac:dyDescent="0.3">
      <c r="A298" s="4">
        <v>297</v>
      </c>
      <c r="B298" s="10">
        <v>46039</v>
      </c>
      <c r="C298" s="4">
        <v>185</v>
      </c>
      <c r="D298" s="4">
        <v>36</v>
      </c>
      <c r="E298" s="4">
        <v>17</v>
      </c>
      <c r="F298" s="4">
        <v>1.1000000000000001</v>
      </c>
      <c r="G298" s="4">
        <v>18.7</v>
      </c>
      <c r="H298" t="s">
        <v>970</v>
      </c>
    </row>
    <row r="299" spans="1:8" ht="15.75" customHeight="1" x14ac:dyDescent="0.3">
      <c r="A299" s="4">
        <v>298</v>
      </c>
      <c r="B299" s="10">
        <v>46027</v>
      </c>
      <c r="C299" s="4">
        <v>491</v>
      </c>
      <c r="D299" s="4">
        <v>47</v>
      </c>
      <c r="E299" s="4">
        <v>20</v>
      </c>
      <c r="F299" s="4">
        <v>1.1499999999999999</v>
      </c>
      <c r="G299" s="4">
        <v>23</v>
      </c>
      <c r="H299" t="s">
        <v>970</v>
      </c>
    </row>
    <row r="300" spans="1:8" ht="15.75" customHeight="1" x14ac:dyDescent="0.3">
      <c r="A300" s="4">
        <v>299</v>
      </c>
      <c r="B300" s="10">
        <v>46102</v>
      </c>
      <c r="C300" s="4">
        <v>173</v>
      </c>
      <c r="D300" s="4">
        <v>41</v>
      </c>
      <c r="E300" s="4">
        <v>9</v>
      </c>
      <c r="F300" s="4">
        <v>2.4</v>
      </c>
      <c r="G300" s="4">
        <v>21.6</v>
      </c>
      <c r="H300" t="s">
        <v>971</v>
      </c>
    </row>
    <row r="301" spans="1:8" ht="15.75" customHeight="1" x14ac:dyDescent="0.3">
      <c r="A301" s="4">
        <v>300</v>
      </c>
      <c r="B301" s="10">
        <v>46046</v>
      </c>
      <c r="C301" s="4">
        <v>423</v>
      </c>
      <c r="D301" s="4">
        <v>50</v>
      </c>
      <c r="E301" s="4">
        <v>14</v>
      </c>
      <c r="F301" s="4">
        <v>1.6</v>
      </c>
      <c r="G301" s="4">
        <v>22.4</v>
      </c>
      <c r="H301" t="s">
        <v>970</v>
      </c>
    </row>
    <row r="302" spans="1:8" ht="15.75" customHeight="1" x14ac:dyDescent="0.3">
      <c r="A302" s="4">
        <v>301</v>
      </c>
      <c r="B302" s="10">
        <v>46031</v>
      </c>
      <c r="C302" s="4">
        <v>93</v>
      </c>
      <c r="D302" s="4">
        <v>11</v>
      </c>
      <c r="E302" s="4">
        <v>18</v>
      </c>
      <c r="F302" s="4">
        <v>0.75</v>
      </c>
      <c r="G302" s="4">
        <v>13.5</v>
      </c>
      <c r="H302" t="s">
        <v>970</v>
      </c>
    </row>
    <row r="303" spans="1:8" ht="15.75" customHeight="1" x14ac:dyDescent="0.3">
      <c r="A303" s="4">
        <v>302</v>
      </c>
      <c r="B303" s="10">
        <v>46054</v>
      </c>
      <c r="C303" s="4">
        <v>254</v>
      </c>
      <c r="D303" s="4">
        <v>3</v>
      </c>
      <c r="E303" s="4">
        <v>12</v>
      </c>
      <c r="F303" s="4">
        <v>1.5</v>
      </c>
      <c r="G303" s="4">
        <v>18</v>
      </c>
      <c r="H303" t="s">
        <v>971</v>
      </c>
    </row>
    <row r="304" spans="1:8" ht="15.75" customHeight="1" x14ac:dyDescent="0.3">
      <c r="A304" s="4">
        <v>303</v>
      </c>
      <c r="B304" s="10">
        <v>46038</v>
      </c>
      <c r="C304" s="4">
        <v>215</v>
      </c>
      <c r="D304" s="4">
        <v>18</v>
      </c>
      <c r="E304" s="4">
        <v>14</v>
      </c>
      <c r="F304" s="4">
        <v>0.3</v>
      </c>
      <c r="G304" s="4">
        <v>4.2</v>
      </c>
      <c r="H304" t="s">
        <v>970</v>
      </c>
    </row>
    <row r="305" spans="1:8" ht="15.75" customHeight="1" x14ac:dyDescent="0.3">
      <c r="A305" s="4">
        <v>304</v>
      </c>
      <c r="B305" s="10">
        <v>46083</v>
      </c>
      <c r="C305" s="4">
        <v>195</v>
      </c>
      <c r="D305" s="4">
        <v>39</v>
      </c>
      <c r="E305" s="4">
        <v>10</v>
      </c>
      <c r="F305" s="4">
        <v>2.1</v>
      </c>
      <c r="G305" s="4">
        <v>21</v>
      </c>
      <c r="H305" t="s">
        <v>970</v>
      </c>
    </row>
    <row r="306" spans="1:8" ht="15.75" customHeight="1" x14ac:dyDescent="0.3">
      <c r="A306" s="4">
        <v>305</v>
      </c>
      <c r="B306" s="10">
        <v>46049</v>
      </c>
      <c r="C306" s="4">
        <v>472</v>
      </c>
      <c r="D306" s="4">
        <v>33</v>
      </c>
      <c r="E306" s="4">
        <v>18</v>
      </c>
      <c r="F306" s="4">
        <v>1.2</v>
      </c>
      <c r="G306" s="4">
        <v>21.6</v>
      </c>
      <c r="H306" t="s">
        <v>971</v>
      </c>
    </row>
    <row r="307" spans="1:8" ht="15.75" customHeight="1" x14ac:dyDescent="0.3">
      <c r="A307" s="4">
        <v>306</v>
      </c>
      <c r="B307" s="10">
        <v>46100</v>
      </c>
      <c r="C307" s="4">
        <v>294</v>
      </c>
      <c r="D307" s="4">
        <v>9</v>
      </c>
      <c r="E307" s="4">
        <v>17</v>
      </c>
      <c r="F307" s="4">
        <v>1.7</v>
      </c>
      <c r="G307" s="4">
        <v>28.9</v>
      </c>
      <c r="H307" t="s">
        <v>971</v>
      </c>
    </row>
    <row r="308" spans="1:8" ht="15.75" customHeight="1" x14ac:dyDescent="0.3">
      <c r="A308" s="4">
        <v>307</v>
      </c>
      <c r="B308" s="10">
        <v>46066</v>
      </c>
      <c r="C308" s="4">
        <v>431</v>
      </c>
      <c r="D308" s="4">
        <v>28</v>
      </c>
      <c r="E308" s="4">
        <v>6</v>
      </c>
      <c r="F308" s="4">
        <v>0.85</v>
      </c>
      <c r="G308" s="4">
        <v>5.0999999999999996</v>
      </c>
      <c r="H308" t="s">
        <v>971</v>
      </c>
    </row>
    <row r="309" spans="1:8" ht="15.75" customHeight="1" x14ac:dyDescent="0.3">
      <c r="A309" s="4">
        <v>308</v>
      </c>
      <c r="B309" s="10">
        <v>46076</v>
      </c>
      <c r="C309" s="4">
        <v>55</v>
      </c>
      <c r="D309" s="4">
        <v>2</v>
      </c>
      <c r="E309" s="4">
        <v>20</v>
      </c>
      <c r="F309" s="4">
        <v>1.75</v>
      </c>
      <c r="G309" s="4">
        <v>35</v>
      </c>
      <c r="H309" t="s">
        <v>970</v>
      </c>
    </row>
    <row r="310" spans="1:8" ht="15.75" customHeight="1" x14ac:dyDescent="0.3">
      <c r="A310" s="4">
        <v>309</v>
      </c>
      <c r="B310" s="10">
        <v>46063</v>
      </c>
      <c r="C310" s="4">
        <v>459</v>
      </c>
      <c r="D310" s="4">
        <v>48</v>
      </c>
      <c r="E310" s="4">
        <v>4</v>
      </c>
      <c r="F310" s="4">
        <v>1.1000000000000001</v>
      </c>
      <c r="G310" s="4">
        <v>4.4000000000000004</v>
      </c>
      <c r="H310" t="s">
        <v>970</v>
      </c>
    </row>
    <row r="311" spans="1:8" ht="15.75" customHeight="1" x14ac:dyDescent="0.3">
      <c r="A311" s="4">
        <v>310</v>
      </c>
      <c r="B311" s="10">
        <v>46108</v>
      </c>
      <c r="C311" s="4">
        <v>306</v>
      </c>
      <c r="D311" s="4">
        <v>35</v>
      </c>
      <c r="E311" s="4">
        <v>16</v>
      </c>
      <c r="F311" s="4">
        <v>1.3</v>
      </c>
      <c r="G311" s="4">
        <v>20.8</v>
      </c>
      <c r="H311" t="s">
        <v>971</v>
      </c>
    </row>
    <row r="312" spans="1:8" ht="15.75" customHeight="1" x14ac:dyDescent="0.3">
      <c r="A312" s="4">
        <v>311</v>
      </c>
      <c r="B312" s="10">
        <v>46043</v>
      </c>
      <c r="C312" s="4">
        <v>198</v>
      </c>
      <c r="D312" s="4">
        <v>22</v>
      </c>
      <c r="E312" s="4">
        <v>1</v>
      </c>
      <c r="F312" s="4">
        <v>1.2</v>
      </c>
      <c r="G312" s="4">
        <v>1.2</v>
      </c>
      <c r="H312" t="s">
        <v>970</v>
      </c>
    </row>
    <row r="313" spans="1:8" ht="15.75" customHeight="1" x14ac:dyDescent="0.3">
      <c r="A313" s="4">
        <v>312</v>
      </c>
      <c r="B313" s="10">
        <v>46027</v>
      </c>
      <c r="C313" s="4">
        <v>382</v>
      </c>
      <c r="D313" s="4">
        <v>24</v>
      </c>
      <c r="E313" s="4">
        <v>3</v>
      </c>
      <c r="F313" s="4">
        <v>1.5</v>
      </c>
      <c r="G313" s="4">
        <v>4.5</v>
      </c>
      <c r="H313" t="s">
        <v>970</v>
      </c>
    </row>
    <row r="314" spans="1:8" ht="15.75" customHeight="1" x14ac:dyDescent="0.3">
      <c r="A314" s="4">
        <v>313</v>
      </c>
      <c r="B314" s="10">
        <v>46083</v>
      </c>
      <c r="C314" s="4">
        <v>46</v>
      </c>
      <c r="D314" s="4">
        <v>29</v>
      </c>
      <c r="E314" s="4">
        <v>15</v>
      </c>
      <c r="F314" s="4">
        <v>1</v>
      </c>
      <c r="G314" s="4">
        <v>15</v>
      </c>
      <c r="H314" t="s">
        <v>971</v>
      </c>
    </row>
    <row r="315" spans="1:8" ht="15.75" customHeight="1" x14ac:dyDescent="0.3">
      <c r="A315" s="4">
        <v>314</v>
      </c>
      <c r="B315" s="10">
        <v>46058</v>
      </c>
      <c r="C315" s="4">
        <v>124</v>
      </c>
      <c r="D315" s="4">
        <v>32</v>
      </c>
      <c r="E315" s="4">
        <v>2</v>
      </c>
      <c r="F315" s="4">
        <v>1.1000000000000001</v>
      </c>
      <c r="G315" s="4">
        <v>2.2000000000000002</v>
      </c>
      <c r="H315" t="s">
        <v>970</v>
      </c>
    </row>
    <row r="316" spans="1:8" ht="15.75" customHeight="1" x14ac:dyDescent="0.3">
      <c r="A316" s="4">
        <v>315</v>
      </c>
      <c r="B316" s="10">
        <v>46069</v>
      </c>
      <c r="C316" s="4">
        <v>30</v>
      </c>
      <c r="D316" s="4">
        <v>26</v>
      </c>
      <c r="E316" s="4">
        <v>11</v>
      </c>
      <c r="F316" s="4">
        <v>1.1000000000000001</v>
      </c>
      <c r="G316" s="4">
        <v>12.1</v>
      </c>
      <c r="H316" t="s">
        <v>970</v>
      </c>
    </row>
    <row r="317" spans="1:8" ht="15.75" customHeight="1" x14ac:dyDescent="0.3">
      <c r="A317" s="4">
        <v>316</v>
      </c>
      <c r="B317" s="10">
        <v>46028</v>
      </c>
      <c r="C317" s="4">
        <v>365</v>
      </c>
      <c r="D317" s="4">
        <v>20</v>
      </c>
      <c r="E317" s="4">
        <v>16</v>
      </c>
      <c r="F317" s="4">
        <v>0.3</v>
      </c>
      <c r="G317" s="4">
        <v>4.8</v>
      </c>
      <c r="H317" t="s">
        <v>971</v>
      </c>
    </row>
    <row r="318" spans="1:8" ht="15.75" customHeight="1" x14ac:dyDescent="0.3">
      <c r="A318" s="4">
        <v>317</v>
      </c>
      <c r="B318" s="10">
        <v>46110</v>
      </c>
      <c r="C318" s="4">
        <v>257</v>
      </c>
      <c r="D318" s="4">
        <v>33</v>
      </c>
      <c r="E318" s="4">
        <v>4</v>
      </c>
      <c r="F318" s="4">
        <v>1.2</v>
      </c>
      <c r="G318" s="4">
        <v>4.8</v>
      </c>
      <c r="H318" t="s">
        <v>970</v>
      </c>
    </row>
    <row r="319" spans="1:8" ht="15.75" customHeight="1" x14ac:dyDescent="0.3">
      <c r="A319" s="4">
        <v>318</v>
      </c>
      <c r="B319" s="10">
        <v>46032</v>
      </c>
      <c r="C319" s="4">
        <v>53</v>
      </c>
      <c r="D319" s="4">
        <v>4</v>
      </c>
      <c r="E319" s="4">
        <v>12</v>
      </c>
      <c r="F319" s="4">
        <v>1.5</v>
      </c>
      <c r="G319" s="4">
        <v>18</v>
      </c>
      <c r="H319" t="s">
        <v>970</v>
      </c>
    </row>
    <row r="320" spans="1:8" ht="15.75" customHeight="1" x14ac:dyDescent="0.3">
      <c r="A320" s="4">
        <v>319</v>
      </c>
      <c r="B320" s="10">
        <v>46082</v>
      </c>
      <c r="C320" s="4">
        <v>189</v>
      </c>
      <c r="D320" s="4">
        <v>33</v>
      </c>
      <c r="E320" s="4">
        <v>1</v>
      </c>
      <c r="F320" s="4">
        <v>1.2</v>
      </c>
      <c r="G320" s="4">
        <v>1.2</v>
      </c>
      <c r="H320" t="s">
        <v>971</v>
      </c>
    </row>
    <row r="321" spans="1:8" ht="15.75" customHeight="1" x14ac:dyDescent="0.3">
      <c r="A321" s="4">
        <v>320</v>
      </c>
      <c r="B321" s="10">
        <v>46071</v>
      </c>
      <c r="C321" s="4">
        <v>470</v>
      </c>
      <c r="D321" s="4">
        <v>42</v>
      </c>
      <c r="E321" s="4">
        <v>5</v>
      </c>
      <c r="F321" s="4">
        <v>2.6</v>
      </c>
      <c r="G321" s="4">
        <v>13</v>
      </c>
      <c r="H321" t="s">
        <v>971</v>
      </c>
    </row>
    <row r="322" spans="1:8" ht="15.75" customHeight="1" x14ac:dyDescent="0.3">
      <c r="A322" s="4">
        <v>321</v>
      </c>
      <c r="B322" s="10">
        <v>46057</v>
      </c>
      <c r="C322" s="4">
        <v>418</v>
      </c>
      <c r="D322" s="4">
        <v>12</v>
      </c>
      <c r="E322" s="4">
        <v>5</v>
      </c>
      <c r="F322" s="4">
        <v>1</v>
      </c>
      <c r="G322" s="4">
        <v>5</v>
      </c>
      <c r="H322" t="s">
        <v>971</v>
      </c>
    </row>
    <row r="323" spans="1:8" ht="15.75" customHeight="1" x14ac:dyDescent="0.3">
      <c r="A323" s="4">
        <v>322</v>
      </c>
      <c r="B323" s="10">
        <v>46105</v>
      </c>
      <c r="C323" s="4">
        <v>126</v>
      </c>
      <c r="D323" s="4">
        <v>26</v>
      </c>
      <c r="E323" s="4">
        <v>6</v>
      </c>
      <c r="F323" s="4">
        <v>1.1000000000000001</v>
      </c>
      <c r="G323" s="4">
        <v>6.6</v>
      </c>
      <c r="H323" t="s">
        <v>970</v>
      </c>
    </row>
    <row r="324" spans="1:8" ht="15.75" customHeight="1" x14ac:dyDescent="0.3">
      <c r="A324" s="4">
        <v>323</v>
      </c>
      <c r="B324" s="10">
        <v>46035</v>
      </c>
      <c r="C324" s="4">
        <v>127</v>
      </c>
      <c r="D324" s="4">
        <v>16</v>
      </c>
      <c r="E324" s="4">
        <v>6</v>
      </c>
      <c r="F324" s="4">
        <v>0.25</v>
      </c>
      <c r="G324" s="4">
        <v>1.5</v>
      </c>
      <c r="H324" t="s">
        <v>970</v>
      </c>
    </row>
    <row r="325" spans="1:8" ht="15.75" customHeight="1" x14ac:dyDescent="0.3">
      <c r="A325" s="4">
        <v>324</v>
      </c>
      <c r="B325" s="10">
        <v>46102</v>
      </c>
      <c r="C325" s="4">
        <v>361</v>
      </c>
      <c r="D325" s="4">
        <v>41</v>
      </c>
      <c r="E325" s="4">
        <v>16</v>
      </c>
      <c r="F325" s="4">
        <v>2.4</v>
      </c>
      <c r="G325" s="4">
        <v>38.4</v>
      </c>
      <c r="H325" t="s">
        <v>971</v>
      </c>
    </row>
    <row r="326" spans="1:8" ht="15.75" customHeight="1" x14ac:dyDescent="0.3">
      <c r="A326" s="4">
        <v>325</v>
      </c>
      <c r="B326" s="10">
        <v>46036</v>
      </c>
      <c r="C326" s="4">
        <v>127</v>
      </c>
      <c r="D326" s="4">
        <v>9</v>
      </c>
      <c r="E326" s="4">
        <v>7</v>
      </c>
      <c r="F326" s="4">
        <v>1.7</v>
      </c>
      <c r="G326" s="4">
        <v>11.9</v>
      </c>
      <c r="H326" t="s">
        <v>970</v>
      </c>
    </row>
    <row r="327" spans="1:8" ht="15.75" customHeight="1" x14ac:dyDescent="0.3">
      <c r="A327" s="4">
        <v>326</v>
      </c>
      <c r="B327" s="10">
        <v>46047</v>
      </c>
      <c r="C327" s="4">
        <v>305</v>
      </c>
      <c r="D327" s="4">
        <v>12</v>
      </c>
      <c r="E327" s="4">
        <v>10</v>
      </c>
      <c r="F327" s="4">
        <v>1</v>
      </c>
      <c r="G327" s="4">
        <v>10</v>
      </c>
      <c r="H327" t="s">
        <v>970</v>
      </c>
    </row>
    <row r="328" spans="1:8" ht="15.75" customHeight="1" x14ac:dyDescent="0.3">
      <c r="A328" s="4">
        <v>327</v>
      </c>
      <c r="B328" s="10">
        <v>46050</v>
      </c>
      <c r="C328" s="4">
        <v>129</v>
      </c>
      <c r="D328" s="4">
        <v>22</v>
      </c>
      <c r="E328" s="4">
        <v>20</v>
      </c>
      <c r="F328" s="4">
        <v>1.2</v>
      </c>
      <c r="G328" s="4">
        <v>24</v>
      </c>
      <c r="H328" t="s">
        <v>971</v>
      </c>
    </row>
    <row r="329" spans="1:8" ht="15.75" customHeight="1" x14ac:dyDescent="0.3">
      <c r="A329" s="4">
        <v>328</v>
      </c>
      <c r="B329" s="10">
        <v>46062</v>
      </c>
      <c r="C329" s="4">
        <v>179</v>
      </c>
      <c r="D329" s="4">
        <v>29</v>
      </c>
      <c r="E329" s="4">
        <v>10</v>
      </c>
      <c r="F329" s="4">
        <v>1</v>
      </c>
      <c r="G329" s="4">
        <v>10</v>
      </c>
      <c r="H329" t="s">
        <v>970</v>
      </c>
    </row>
    <row r="330" spans="1:8" ht="15.75" customHeight="1" x14ac:dyDescent="0.3">
      <c r="A330" s="4">
        <v>329</v>
      </c>
      <c r="B330" s="10">
        <v>46025</v>
      </c>
      <c r="C330" s="4">
        <v>417</v>
      </c>
      <c r="D330" s="4">
        <v>8</v>
      </c>
      <c r="E330" s="4">
        <v>17</v>
      </c>
      <c r="F330" s="4">
        <v>1.5</v>
      </c>
      <c r="G330" s="4">
        <v>25.5</v>
      </c>
      <c r="H330" t="s">
        <v>970</v>
      </c>
    </row>
    <row r="331" spans="1:8" ht="15.75" customHeight="1" x14ac:dyDescent="0.3">
      <c r="A331" s="4">
        <v>330</v>
      </c>
      <c r="B331" s="10">
        <v>46095</v>
      </c>
      <c r="C331" s="4">
        <v>384</v>
      </c>
      <c r="D331" s="4">
        <v>8</v>
      </c>
      <c r="E331" s="4">
        <v>17</v>
      </c>
      <c r="F331" s="4">
        <v>1.5</v>
      </c>
      <c r="G331" s="4">
        <v>25.5</v>
      </c>
      <c r="H331" t="s">
        <v>971</v>
      </c>
    </row>
    <row r="332" spans="1:8" ht="15.75" customHeight="1" x14ac:dyDescent="0.3">
      <c r="A332" s="4">
        <v>331</v>
      </c>
      <c r="B332" s="10">
        <v>46054</v>
      </c>
      <c r="C332" s="4">
        <v>463</v>
      </c>
      <c r="D332" s="4">
        <v>17</v>
      </c>
      <c r="E332" s="4">
        <v>13</v>
      </c>
      <c r="F332" s="4">
        <v>0.25</v>
      </c>
      <c r="G332" s="4">
        <v>3.25</v>
      </c>
      <c r="H332" t="s">
        <v>970</v>
      </c>
    </row>
    <row r="333" spans="1:8" ht="15.75" customHeight="1" x14ac:dyDescent="0.3">
      <c r="A333" s="4">
        <v>332</v>
      </c>
      <c r="B333" s="10">
        <v>46086</v>
      </c>
      <c r="C333" s="4">
        <v>216</v>
      </c>
      <c r="D333" s="4">
        <v>8</v>
      </c>
      <c r="E333" s="4">
        <v>8</v>
      </c>
      <c r="F333" s="4">
        <v>1.5</v>
      </c>
      <c r="G333" s="4">
        <v>12</v>
      </c>
      <c r="H333" t="s">
        <v>970</v>
      </c>
    </row>
    <row r="334" spans="1:8" ht="15.75" customHeight="1" x14ac:dyDescent="0.3">
      <c r="A334" s="4">
        <v>333</v>
      </c>
      <c r="B334" s="10">
        <v>46035</v>
      </c>
      <c r="C334" s="4">
        <v>303</v>
      </c>
      <c r="D334" s="4">
        <v>47</v>
      </c>
      <c r="E334" s="4">
        <v>9</v>
      </c>
      <c r="F334" s="4">
        <v>1.1499999999999999</v>
      </c>
      <c r="G334" s="4">
        <v>10.35</v>
      </c>
      <c r="H334" t="s">
        <v>971</v>
      </c>
    </row>
    <row r="335" spans="1:8" ht="15.75" customHeight="1" x14ac:dyDescent="0.3">
      <c r="A335" s="4">
        <v>334</v>
      </c>
      <c r="B335" s="10">
        <v>46098</v>
      </c>
      <c r="C335" s="4">
        <v>34</v>
      </c>
      <c r="D335" s="4">
        <v>48</v>
      </c>
      <c r="E335" s="4">
        <v>15</v>
      </c>
      <c r="F335" s="4">
        <v>1.1000000000000001</v>
      </c>
      <c r="G335" s="4">
        <v>16.5</v>
      </c>
      <c r="H335" t="s">
        <v>971</v>
      </c>
    </row>
    <row r="336" spans="1:8" ht="15.75" customHeight="1" x14ac:dyDescent="0.3">
      <c r="A336" s="4">
        <v>335</v>
      </c>
      <c r="B336" s="10">
        <v>46029</v>
      </c>
      <c r="C336" s="4">
        <v>283</v>
      </c>
      <c r="D336" s="4">
        <v>9</v>
      </c>
      <c r="E336" s="4">
        <v>9</v>
      </c>
      <c r="F336" s="4">
        <v>1.7</v>
      </c>
      <c r="G336" s="4">
        <v>15.3</v>
      </c>
      <c r="H336" t="s">
        <v>971</v>
      </c>
    </row>
    <row r="337" spans="1:8" ht="15.75" customHeight="1" x14ac:dyDescent="0.3">
      <c r="A337" s="4">
        <v>336</v>
      </c>
      <c r="B337" s="10">
        <v>46092</v>
      </c>
      <c r="C337" s="4">
        <v>365</v>
      </c>
      <c r="D337" s="4">
        <v>50</v>
      </c>
      <c r="E337" s="4">
        <v>4</v>
      </c>
      <c r="F337" s="4">
        <v>1.6</v>
      </c>
      <c r="G337" s="4">
        <v>6.4</v>
      </c>
      <c r="H337" t="s">
        <v>970</v>
      </c>
    </row>
    <row r="338" spans="1:8" ht="15.75" customHeight="1" x14ac:dyDescent="0.3">
      <c r="A338" s="4">
        <v>337</v>
      </c>
      <c r="B338" s="10">
        <v>46049</v>
      </c>
      <c r="C338" s="4">
        <v>427</v>
      </c>
      <c r="D338" s="4">
        <v>17</v>
      </c>
      <c r="E338" s="4">
        <v>6</v>
      </c>
      <c r="F338" s="4">
        <v>0.25</v>
      </c>
      <c r="G338" s="4">
        <v>1.5</v>
      </c>
      <c r="H338" t="s">
        <v>970</v>
      </c>
    </row>
    <row r="339" spans="1:8" ht="15.75" customHeight="1" x14ac:dyDescent="0.3">
      <c r="A339" s="4">
        <v>338</v>
      </c>
      <c r="B339" s="10">
        <v>46084</v>
      </c>
      <c r="C339" s="4">
        <v>180</v>
      </c>
      <c r="D339" s="4">
        <v>9</v>
      </c>
      <c r="E339" s="4">
        <v>9</v>
      </c>
      <c r="F339" s="4">
        <v>1.7</v>
      </c>
      <c r="G339" s="4">
        <v>15.3</v>
      </c>
      <c r="H339" t="s">
        <v>971</v>
      </c>
    </row>
    <row r="340" spans="1:8" ht="15.75" customHeight="1" x14ac:dyDescent="0.3">
      <c r="A340" s="4">
        <v>339</v>
      </c>
      <c r="B340" s="10">
        <v>46029</v>
      </c>
      <c r="C340" s="4">
        <v>335</v>
      </c>
      <c r="D340" s="4">
        <v>16</v>
      </c>
      <c r="E340" s="4">
        <v>14</v>
      </c>
      <c r="F340" s="4">
        <v>0.25</v>
      </c>
      <c r="G340" s="4">
        <v>3.5</v>
      </c>
      <c r="H340" t="s">
        <v>970</v>
      </c>
    </row>
    <row r="341" spans="1:8" ht="15.75" customHeight="1" x14ac:dyDescent="0.3">
      <c r="A341" s="4">
        <v>340</v>
      </c>
      <c r="B341" s="10">
        <v>46074</v>
      </c>
      <c r="C341" s="4">
        <v>363</v>
      </c>
      <c r="D341" s="4">
        <v>42</v>
      </c>
      <c r="E341" s="4">
        <v>3</v>
      </c>
      <c r="F341" s="4">
        <v>2.6</v>
      </c>
      <c r="G341" s="4">
        <v>7.8</v>
      </c>
      <c r="H341" t="s">
        <v>970</v>
      </c>
    </row>
    <row r="342" spans="1:8" ht="15.75" customHeight="1" x14ac:dyDescent="0.3">
      <c r="A342" s="4">
        <v>341</v>
      </c>
      <c r="B342" s="10">
        <v>46101</v>
      </c>
      <c r="C342" s="4">
        <v>355</v>
      </c>
      <c r="D342" s="4">
        <v>47</v>
      </c>
      <c r="E342" s="4">
        <v>4</v>
      </c>
      <c r="F342" s="4">
        <v>1.1499999999999999</v>
      </c>
      <c r="G342" s="4">
        <v>4.5999999999999996</v>
      </c>
      <c r="H342" t="s">
        <v>971</v>
      </c>
    </row>
    <row r="343" spans="1:8" ht="15.75" customHeight="1" x14ac:dyDescent="0.3">
      <c r="A343" s="4">
        <v>342</v>
      </c>
      <c r="B343" s="10">
        <v>46041</v>
      </c>
      <c r="C343" s="4">
        <v>45</v>
      </c>
      <c r="D343" s="4">
        <v>3</v>
      </c>
      <c r="E343" s="4">
        <v>10</v>
      </c>
      <c r="F343" s="4">
        <v>1.5</v>
      </c>
      <c r="G343" s="4">
        <v>15</v>
      </c>
      <c r="H343" t="s">
        <v>970</v>
      </c>
    </row>
    <row r="344" spans="1:8" ht="15.75" customHeight="1" x14ac:dyDescent="0.3">
      <c r="A344" s="4">
        <v>343</v>
      </c>
      <c r="B344" s="10">
        <v>46068</v>
      </c>
      <c r="C344" s="4">
        <v>398</v>
      </c>
      <c r="D344" s="4">
        <v>11</v>
      </c>
      <c r="E344" s="4">
        <v>13</v>
      </c>
      <c r="F344" s="4">
        <v>0.75</v>
      </c>
      <c r="G344" s="4">
        <v>9.75</v>
      </c>
      <c r="H344" t="s">
        <v>970</v>
      </c>
    </row>
    <row r="345" spans="1:8" ht="15.75" customHeight="1" x14ac:dyDescent="0.3">
      <c r="A345" s="4">
        <v>344</v>
      </c>
      <c r="B345" s="10">
        <v>46065</v>
      </c>
      <c r="C345" s="4">
        <v>262</v>
      </c>
      <c r="D345" s="4">
        <v>49</v>
      </c>
      <c r="E345" s="4">
        <v>14</v>
      </c>
      <c r="F345" s="4">
        <v>1.4</v>
      </c>
      <c r="G345" s="4">
        <v>19.600000000000001</v>
      </c>
      <c r="H345" t="s">
        <v>971</v>
      </c>
    </row>
    <row r="346" spans="1:8" ht="15.75" customHeight="1" x14ac:dyDescent="0.3">
      <c r="A346" s="4">
        <v>345</v>
      </c>
      <c r="B346" s="10">
        <v>46052</v>
      </c>
      <c r="C346" s="4">
        <v>142</v>
      </c>
      <c r="D346" s="4">
        <v>22</v>
      </c>
      <c r="E346" s="4">
        <v>9</v>
      </c>
      <c r="F346" s="4">
        <v>1.2</v>
      </c>
      <c r="G346" s="4">
        <v>10.8</v>
      </c>
      <c r="H346" t="s">
        <v>970</v>
      </c>
    </row>
    <row r="347" spans="1:8" ht="15.75" customHeight="1" x14ac:dyDescent="0.3">
      <c r="A347" s="4">
        <v>346</v>
      </c>
      <c r="B347" s="10">
        <v>46030</v>
      </c>
      <c r="C347" s="4">
        <v>480</v>
      </c>
      <c r="D347" s="4">
        <v>34</v>
      </c>
      <c r="E347" s="4">
        <v>18</v>
      </c>
      <c r="F347" s="4">
        <v>1.25</v>
      </c>
      <c r="G347" s="4">
        <v>22.5</v>
      </c>
      <c r="H347" t="s">
        <v>970</v>
      </c>
    </row>
    <row r="348" spans="1:8" ht="15.75" customHeight="1" x14ac:dyDescent="0.3">
      <c r="A348" s="4">
        <v>347</v>
      </c>
      <c r="B348" s="10">
        <v>46039</v>
      </c>
      <c r="C348" s="4">
        <v>380</v>
      </c>
      <c r="D348" s="4">
        <v>44</v>
      </c>
      <c r="E348" s="4">
        <v>18</v>
      </c>
      <c r="F348" s="4">
        <v>3.2</v>
      </c>
      <c r="G348" s="4">
        <v>57.6</v>
      </c>
      <c r="H348" t="s">
        <v>971</v>
      </c>
    </row>
    <row r="349" spans="1:8" ht="15.75" customHeight="1" x14ac:dyDescent="0.3">
      <c r="A349" s="4">
        <v>348</v>
      </c>
      <c r="B349" s="10">
        <v>46040</v>
      </c>
      <c r="C349" s="4">
        <v>143</v>
      </c>
      <c r="D349" s="4">
        <v>2</v>
      </c>
      <c r="E349" s="4">
        <v>18</v>
      </c>
      <c r="F349" s="4">
        <v>1.75</v>
      </c>
      <c r="G349" s="4">
        <v>31.5</v>
      </c>
      <c r="H349" t="s">
        <v>971</v>
      </c>
    </row>
    <row r="350" spans="1:8" ht="15.75" customHeight="1" x14ac:dyDescent="0.3">
      <c r="A350" s="4">
        <v>349</v>
      </c>
      <c r="B350" s="10">
        <v>46027</v>
      </c>
      <c r="C350" s="4">
        <v>211</v>
      </c>
      <c r="D350" s="4">
        <v>34</v>
      </c>
      <c r="E350" s="4">
        <v>8</v>
      </c>
      <c r="F350" s="4">
        <v>1.25</v>
      </c>
      <c r="G350" s="4">
        <v>10</v>
      </c>
      <c r="H350" t="s">
        <v>971</v>
      </c>
    </row>
    <row r="351" spans="1:8" ht="15.75" customHeight="1" x14ac:dyDescent="0.3">
      <c r="A351" s="4">
        <v>350</v>
      </c>
      <c r="B351" s="10">
        <v>46048</v>
      </c>
      <c r="C351" s="4">
        <v>227</v>
      </c>
      <c r="D351" s="4">
        <v>48</v>
      </c>
      <c r="E351" s="4">
        <v>6</v>
      </c>
      <c r="F351" s="4">
        <v>1.1000000000000001</v>
      </c>
      <c r="G351" s="4">
        <v>6.6</v>
      </c>
      <c r="H351" t="s">
        <v>970</v>
      </c>
    </row>
    <row r="352" spans="1:8" ht="15.75" customHeight="1" x14ac:dyDescent="0.3">
      <c r="A352" s="4">
        <v>351</v>
      </c>
      <c r="B352" s="10">
        <v>46076</v>
      </c>
      <c r="C352" s="4">
        <v>294</v>
      </c>
      <c r="D352" s="4">
        <v>50</v>
      </c>
      <c r="E352" s="4">
        <v>16</v>
      </c>
      <c r="F352" s="4">
        <v>1.6</v>
      </c>
      <c r="G352" s="4">
        <v>25.6</v>
      </c>
      <c r="H352" t="s">
        <v>970</v>
      </c>
    </row>
    <row r="353" spans="1:8" ht="15.75" customHeight="1" x14ac:dyDescent="0.3">
      <c r="A353" s="4">
        <v>352</v>
      </c>
      <c r="B353" s="10">
        <v>46038</v>
      </c>
      <c r="C353" s="4">
        <v>421</v>
      </c>
      <c r="D353" s="4">
        <v>37</v>
      </c>
      <c r="E353" s="4">
        <v>2</v>
      </c>
      <c r="F353" s="4">
        <v>1.25</v>
      </c>
      <c r="G353" s="4">
        <v>2.5</v>
      </c>
      <c r="H353" t="s">
        <v>971</v>
      </c>
    </row>
    <row r="354" spans="1:8" ht="15.75" customHeight="1" x14ac:dyDescent="0.3">
      <c r="A354" s="4">
        <v>353</v>
      </c>
      <c r="B354" s="10">
        <v>46082</v>
      </c>
      <c r="C354" s="4">
        <v>13</v>
      </c>
      <c r="D354" s="4">
        <v>19</v>
      </c>
      <c r="E354" s="4">
        <v>17</v>
      </c>
      <c r="F354" s="4">
        <v>0.35</v>
      </c>
      <c r="G354" s="4">
        <v>5.95</v>
      </c>
      <c r="H354" t="s">
        <v>970</v>
      </c>
    </row>
    <row r="355" spans="1:8" ht="15.75" customHeight="1" x14ac:dyDescent="0.3">
      <c r="A355" s="4">
        <v>354</v>
      </c>
      <c r="B355" s="10">
        <v>46110</v>
      </c>
      <c r="C355" s="4">
        <v>43</v>
      </c>
      <c r="D355" s="4">
        <v>28</v>
      </c>
      <c r="E355" s="4">
        <v>8</v>
      </c>
      <c r="F355" s="4">
        <v>0.85</v>
      </c>
      <c r="G355" s="4">
        <v>6.8</v>
      </c>
      <c r="H355" t="s">
        <v>970</v>
      </c>
    </row>
    <row r="356" spans="1:8" ht="15.75" customHeight="1" x14ac:dyDescent="0.3">
      <c r="A356" s="4">
        <v>355</v>
      </c>
      <c r="B356" s="10">
        <v>46059</v>
      </c>
      <c r="C356" s="4">
        <v>382</v>
      </c>
      <c r="D356" s="4">
        <v>43</v>
      </c>
      <c r="E356" s="4">
        <v>17</v>
      </c>
      <c r="F356" s="4">
        <v>4.5</v>
      </c>
      <c r="G356" s="4">
        <v>76.5</v>
      </c>
      <c r="H356" t="s">
        <v>971</v>
      </c>
    </row>
    <row r="357" spans="1:8" ht="15.75" customHeight="1" x14ac:dyDescent="0.3">
      <c r="A357" s="4">
        <v>356</v>
      </c>
      <c r="B357" s="10">
        <v>46051</v>
      </c>
      <c r="C357" s="4">
        <v>55</v>
      </c>
      <c r="D357" s="4">
        <v>45</v>
      </c>
      <c r="E357" s="4">
        <v>7</v>
      </c>
      <c r="F357" s="4">
        <v>0.95</v>
      </c>
      <c r="G357" s="4">
        <v>6.65</v>
      </c>
      <c r="H357" t="s">
        <v>970</v>
      </c>
    </row>
    <row r="358" spans="1:8" ht="15.75" customHeight="1" x14ac:dyDescent="0.3">
      <c r="A358" s="4">
        <v>357</v>
      </c>
      <c r="B358" s="10">
        <v>46078</v>
      </c>
      <c r="C358" s="4">
        <v>379</v>
      </c>
      <c r="D358" s="4">
        <v>38</v>
      </c>
      <c r="E358" s="4">
        <v>6</v>
      </c>
      <c r="F358" s="4">
        <v>2.1</v>
      </c>
      <c r="G358" s="4">
        <v>12.6</v>
      </c>
      <c r="H358" t="s">
        <v>970</v>
      </c>
    </row>
    <row r="359" spans="1:8" ht="15.75" customHeight="1" x14ac:dyDescent="0.3">
      <c r="A359" s="4">
        <v>358</v>
      </c>
      <c r="B359" s="10">
        <v>46096</v>
      </c>
      <c r="C359" s="4">
        <v>171</v>
      </c>
      <c r="D359" s="4">
        <v>17</v>
      </c>
      <c r="E359" s="4">
        <v>15</v>
      </c>
      <c r="F359" s="4">
        <v>0.25</v>
      </c>
      <c r="G359" s="4">
        <v>3.75</v>
      </c>
      <c r="H359" t="s">
        <v>971</v>
      </c>
    </row>
    <row r="360" spans="1:8" ht="15.75" customHeight="1" x14ac:dyDescent="0.3">
      <c r="A360" s="4">
        <v>359</v>
      </c>
      <c r="B360" s="10">
        <v>46031</v>
      </c>
      <c r="C360" s="4">
        <v>170</v>
      </c>
      <c r="D360" s="4">
        <v>24</v>
      </c>
      <c r="E360" s="4">
        <v>11</v>
      </c>
      <c r="F360" s="4">
        <v>1.5</v>
      </c>
      <c r="G360" s="4">
        <v>16.5</v>
      </c>
      <c r="H360" t="s">
        <v>970</v>
      </c>
    </row>
    <row r="361" spans="1:8" ht="15.75" customHeight="1" x14ac:dyDescent="0.3">
      <c r="A361" s="4">
        <v>360</v>
      </c>
      <c r="B361" s="10">
        <v>46108</v>
      </c>
      <c r="C361" s="4">
        <v>78</v>
      </c>
      <c r="D361" s="4">
        <v>5</v>
      </c>
      <c r="E361" s="4">
        <v>9</v>
      </c>
      <c r="F361" s="4">
        <v>0.75</v>
      </c>
      <c r="G361" s="4">
        <v>6.75</v>
      </c>
      <c r="H361" t="s">
        <v>970</v>
      </c>
    </row>
    <row r="362" spans="1:8" ht="15.75" customHeight="1" x14ac:dyDescent="0.3">
      <c r="A362" s="4">
        <v>361</v>
      </c>
      <c r="B362" s="10">
        <v>46113</v>
      </c>
      <c r="C362" s="4">
        <v>135</v>
      </c>
      <c r="D362" s="4">
        <v>1</v>
      </c>
      <c r="E362" s="4">
        <v>11</v>
      </c>
      <c r="F362" s="4">
        <v>1.5</v>
      </c>
      <c r="G362" s="4">
        <v>16.5</v>
      </c>
      <c r="H362" t="s">
        <v>971</v>
      </c>
    </row>
    <row r="363" spans="1:8" ht="15.75" customHeight="1" x14ac:dyDescent="0.3">
      <c r="A363" s="4">
        <v>362</v>
      </c>
      <c r="B363" s="10">
        <v>46095</v>
      </c>
      <c r="C363" s="4">
        <v>272</v>
      </c>
      <c r="D363" s="4">
        <v>22</v>
      </c>
      <c r="E363" s="4">
        <v>17</v>
      </c>
      <c r="F363" s="4">
        <v>1.2</v>
      </c>
      <c r="G363" s="4">
        <v>20.399999999999999</v>
      </c>
      <c r="H363" t="s">
        <v>971</v>
      </c>
    </row>
    <row r="364" spans="1:8" ht="15.75" customHeight="1" x14ac:dyDescent="0.3">
      <c r="A364" s="4">
        <v>363</v>
      </c>
      <c r="B364" s="10">
        <v>46106</v>
      </c>
      <c r="C364" s="4">
        <v>281</v>
      </c>
      <c r="D364" s="4">
        <v>22</v>
      </c>
      <c r="E364" s="4">
        <v>11</v>
      </c>
      <c r="F364" s="4">
        <v>1.2</v>
      </c>
      <c r="G364" s="4">
        <v>13.2</v>
      </c>
      <c r="H364" t="s">
        <v>971</v>
      </c>
    </row>
    <row r="365" spans="1:8" ht="15.75" customHeight="1" x14ac:dyDescent="0.3">
      <c r="A365" s="4">
        <v>364</v>
      </c>
      <c r="B365" s="10">
        <v>46067</v>
      </c>
      <c r="C365" s="4">
        <v>150</v>
      </c>
      <c r="D365" s="4">
        <v>36</v>
      </c>
      <c r="E365" s="4">
        <v>9</v>
      </c>
      <c r="F365" s="4">
        <v>1.1000000000000001</v>
      </c>
      <c r="G365" s="4">
        <v>9.9</v>
      </c>
      <c r="H365" t="s">
        <v>970</v>
      </c>
    </row>
    <row r="366" spans="1:8" ht="15.75" customHeight="1" x14ac:dyDescent="0.3">
      <c r="A366" s="4">
        <v>365</v>
      </c>
      <c r="B366" s="10">
        <v>46057</v>
      </c>
      <c r="C366" s="4">
        <v>61</v>
      </c>
      <c r="D366" s="4">
        <v>21</v>
      </c>
      <c r="E366" s="4">
        <v>11</v>
      </c>
      <c r="F366" s="4">
        <v>1.4</v>
      </c>
      <c r="G366" s="4">
        <v>15.4</v>
      </c>
      <c r="H366" t="s">
        <v>970</v>
      </c>
    </row>
    <row r="367" spans="1:8" ht="15.75" customHeight="1" x14ac:dyDescent="0.3">
      <c r="A367" s="4">
        <v>366</v>
      </c>
      <c r="B367" s="10">
        <v>46033</v>
      </c>
      <c r="C367" s="4">
        <v>430</v>
      </c>
      <c r="D367" s="4">
        <v>7</v>
      </c>
      <c r="E367" s="4">
        <v>10</v>
      </c>
      <c r="F367" s="4">
        <v>0.25</v>
      </c>
      <c r="G367" s="4">
        <v>2.5</v>
      </c>
      <c r="H367" t="s">
        <v>971</v>
      </c>
    </row>
    <row r="368" spans="1:8" ht="15.75" customHeight="1" x14ac:dyDescent="0.3">
      <c r="A368" s="4">
        <v>367</v>
      </c>
      <c r="B368" s="10">
        <v>46055</v>
      </c>
      <c r="C368" s="4">
        <v>334</v>
      </c>
      <c r="D368" s="4">
        <v>6</v>
      </c>
      <c r="E368" s="4">
        <v>19</v>
      </c>
      <c r="F368" s="4">
        <v>1</v>
      </c>
      <c r="G368" s="4">
        <v>19</v>
      </c>
      <c r="H368" t="s">
        <v>970</v>
      </c>
    </row>
    <row r="369" spans="1:8" ht="15.75" customHeight="1" x14ac:dyDescent="0.3">
      <c r="A369" s="4">
        <v>368</v>
      </c>
      <c r="B369" s="10">
        <v>46064</v>
      </c>
      <c r="C369" s="4">
        <v>298</v>
      </c>
      <c r="D369" s="4">
        <v>32</v>
      </c>
      <c r="E369" s="4">
        <v>5</v>
      </c>
      <c r="F369" s="4">
        <v>1.1000000000000001</v>
      </c>
      <c r="G369" s="4">
        <v>5.5</v>
      </c>
      <c r="H369" t="s">
        <v>970</v>
      </c>
    </row>
    <row r="370" spans="1:8" ht="15.75" customHeight="1" x14ac:dyDescent="0.3">
      <c r="A370" s="4">
        <v>369</v>
      </c>
      <c r="B370" s="10">
        <v>46075</v>
      </c>
      <c r="C370" s="4">
        <v>353</v>
      </c>
      <c r="D370" s="4">
        <v>8</v>
      </c>
      <c r="E370" s="4">
        <v>8</v>
      </c>
      <c r="F370" s="4">
        <v>1.5</v>
      </c>
      <c r="G370" s="4">
        <v>12</v>
      </c>
      <c r="H370" t="s">
        <v>971</v>
      </c>
    </row>
    <row r="371" spans="1:8" ht="15.75" customHeight="1" x14ac:dyDescent="0.3">
      <c r="A371" s="4">
        <v>370</v>
      </c>
      <c r="B371" s="10">
        <v>46099</v>
      </c>
      <c r="C371" s="4">
        <v>298</v>
      </c>
      <c r="D371" s="4">
        <v>24</v>
      </c>
      <c r="E371" s="4">
        <v>4</v>
      </c>
      <c r="F371" s="4">
        <v>1.5</v>
      </c>
      <c r="G371" s="4">
        <v>6</v>
      </c>
      <c r="H371" t="s">
        <v>970</v>
      </c>
    </row>
    <row r="372" spans="1:8" ht="15.75" customHeight="1" x14ac:dyDescent="0.3">
      <c r="A372" s="4">
        <v>371</v>
      </c>
      <c r="B372" s="10">
        <v>46054</v>
      </c>
      <c r="C372" s="4">
        <v>266</v>
      </c>
      <c r="D372" s="4">
        <v>8</v>
      </c>
      <c r="E372" s="4">
        <v>16</v>
      </c>
      <c r="F372" s="4">
        <v>1.5</v>
      </c>
      <c r="G372" s="4">
        <v>24</v>
      </c>
      <c r="H372" t="s">
        <v>970</v>
      </c>
    </row>
    <row r="373" spans="1:8" ht="15.75" customHeight="1" x14ac:dyDescent="0.3">
      <c r="A373" s="4">
        <v>372</v>
      </c>
      <c r="B373" s="10">
        <v>46105</v>
      </c>
      <c r="C373" s="4">
        <v>170</v>
      </c>
      <c r="D373" s="4">
        <v>40</v>
      </c>
      <c r="E373" s="4">
        <v>17</v>
      </c>
      <c r="F373" s="4">
        <v>1.9</v>
      </c>
      <c r="G373" s="4">
        <v>32.299999999999997</v>
      </c>
      <c r="H373" t="s">
        <v>971</v>
      </c>
    </row>
    <row r="374" spans="1:8" ht="15.75" customHeight="1" x14ac:dyDescent="0.3">
      <c r="A374" s="4">
        <v>373</v>
      </c>
      <c r="B374" s="10">
        <v>46081</v>
      </c>
      <c r="C374" s="4">
        <v>477</v>
      </c>
      <c r="D374" s="4">
        <v>29</v>
      </c>
      <c r="E374" s="4">
        <v>17</v>
      </c>
      <c r="F374" s="4">
        <v>1</v>
      </c>
      <c r="G374" s="4">
        <v>17</v>
      </c>
      <c r="H374" t="s">
        <v>970</v>
      </c>
    </row>
    <row r="375" spans="1:8" ht="15.75" customHeight="1" x14ac:dyDescent="0.3">
      <c r="A375" s="4">
        <v>374</v>
      </c>
      <c r="B375" s="10">
        <v>46084</v>
      </c>
      <c r="C375" s="4">
        <v>270</v>
      </c>
      <c r="D375" s="4">
        <v>19</v>
      </c>
      <c r="E375" s="4">
        <v>3</v>
      </c>
      <c r="F375" s="4">
        <v>0.35</v>
      </c>
      <c r="G375" s="4">
        <v>1.05</v>
      </c>
      <c r="H375" t="s">
        <v>970</v>
      </c>
    </row>
    <row r="376" spans="1:8" ht="15.75" customHeight="1" x14ac:dyDescent="0.3">
      <c r="A376" s="4">
        <v>375</v>
      </c>
      <c r="B376" s="10">
        <v>46050</v>
      </c>
      <c r="C376" s="4">
        <v>435</v>
      </c>
      <c r="D376" s="4">
        <v>42</v>
      </c>
      <c r="E376" s="4">
        <v>9</v>
      </c>
      <c r="F376" s="4">
        <v>2.6</v>
      </c>
      <c r="G376" s="4">
        <v>23.4</v>
      </c>
      <c r="H376" t="s">
        <v>971</v>
      </c>
    </row>
    <row r="377" spans="1:8" ht="15.75" customHeight="1" x14ac:dyDescent="0.3">
      <c r="A377" s="4">
        <v>376</v>
      </c>
      <c r="B377" s="10">
        <v>46085</v>
      </c>
      <c r="C377" s="4">
        <v>67</v>
      </c>
      <c r="D377" s="4">
        <v>4</v>
      </c>
      <c r="E377" s="4">
        <v>19</v>
      </c>
      <c r="F377" s="4">
        <v>1.5</v>
      </c>
      <c r="G377" s="4">
        <v>28.5</v>
      </c>
      <c r="H377" t="s">
        <v>971</v>
      </c>
    </row>
    <row r="378" spans="1:8" ht="15.75" customHeight="1" x14ac:dyDescent="0.3">
      <c r="A378" s="4">
        <v>377</v>
      </c>
      <c r="B378" s="10">
        <v>46056</v>
      </c>
      <c r="C378" s="4">
        <v>240</v>
      </c>
      <c r="D378" s="4">
        <v>16</v>
      </c>
      <c r="E378" s="4">
        <v>20</v>
      </c>
      <c r="F378" s="4">
        <v>0.25</v>
      </c>
      <c r="G378" s="4">
        <v>5</v>
      </c>
      <c r="H378" t="s">
        <v>971</v>
      </c>
    </row>
    <row r="379" spans="1:8" ht="15.75" customHeight="1" x14ac:dyDescent="0.3">
      <c r="A379" s="4">
        <v>378</v>
      </c>
      <c r="B379" s="10">
        <v>46030</v>
      </c>
      <c r="C379" s="4">
        <v>455</v>
      </c>
      <c r="D379" s="4">
        <v>6</v>
      </c>
      <c r="E379" s="4">
        <v>5</v>
      </c>
      <c r="F379" s="4">
        <v>1</v>
      </c>
      <c r="G379" s="4">
        <v>5</v>
      </c>
      <c r="H379" t="s">
        <v>970</v>
      </c>
    </row>
    <row r="380" spans="1:8" ht="15.75" customHeight="1" x14ac:dyDescent="0.3">
      <c r="A380" s="4">
        <v>379</v>
      </c>
      <c r="B380" s="10">
        <v>46102</v>
      </c>
      <c r="C380" s="4">
        <v>380</v>
      </c>
      <c r="D380" s="4">
        <v>24</v>
      </c>
      <c r="E380" s="4">
        <v>2</v>
      </c>
      <c r="F380" s="4">
        <v>1.5</v>
      </c>
      <c r="G380" s="4">
        <v>3</v>
      </c>
      <c r="H380" t="s">
        <v>970</v>
      </c>
    </row>
    <row r="381" spans="1:8" ht="15.75" customHeight="1" x14ac:dyDescent="0.3">
      <c r="A381" s="4">
        <v>380</v>
      </c>
      <c r="B381" s="10">
        <v>46034</v>
      </c>
      <c r="C381" s="4">
        <v>246</v>
      </c>
      <c r="D381" s="4">
        <v>33</v>
      </c>
      <c r="E381" s="4">
        <v>5</v>
      </c>
      <c r="F381" s="4">
        <v>1.2</v>
      </c>
      <c r="G381" s="4">
        <v>6</v>
      </c>
      <c r="H381" t="s">
        <v>971</v>
      </c>
    </row>
    <row r="382" spans="1:8" ht="15.75" customHeight="1" x14ac:dyDescent="0.3">
      <c r="A382" s="4">
        <v>381</v>
      </c>
      <c r="B382" s="10">
        <v>46054</v>
      </c>
      <c r="C382" s="4">
        <v>122</v>
      </c>
      <c r="D382" s="4">
        <v>15</v>
      </c>
      <c r="E382" s="4">
        <v>17</v>
      </c>
      <c r="F382" s="4">
        <v>0.95</v>
      </c>
      <c r="G382" s="4">
        <v>16.149999999999999</v>
      </c>
      <c r="H382" t="s">
        <v>970</v>
      </c>
    </row>
    <row r="383" spans="1:8" ht="15.75" customHeight="1" x14ac:dyDescent="0.3">
      <c r="A383" s="4">
        <v>382</v>
      </c>
      <c r="B383" s="10">
        <v>46094</v>
      </c>
      <c r="C383" s="4">
        <v>445</v>
      </c>
      <c r="D383" s="4">
        <v>40</v>
      </c>
      <c r="E383" s="4">
        <v>2</v>
      </c>
      <c r="F383" s="4">
        <v>1.9</v>
      </c>
      <c r="G383" s="4">
        <v>3.8</v>
      </c>
      <c r="H383" t="s">
        <v>970</v>
      </c>
    </row>
    <row r="384" spans="1:8" ht="15.75" customHeight="1" x14ac:dyDescent="0.3">
      <c r="A384" s="4">
        <v>383</v>
      </c>
      <c r="B384" s="10">
        <v>46092</v>
      </c>
      <c r="C384" s="4">
        <v>97</v>
      </c>
      <c r="D384" s="4">
        <v>8</v>
      </c>
      <c r="E384" s="4">
        <v>18</v>
      </c>
      <c r="F384" s="4">
        <v>1.5</v>
      </c>
      <c r="G384" s="4">
        <v>27</v>
      </c>
      <c r="H384" t="s">
        <v>971</v>
      </c>
    </row>
    <row r="385" spans="1:8" ht="15.75" customHeight="1" x14ac:dyDescent="0.3">
      <c r="A385" s="4">
        <v>384</v>
      </c>
      <c r="B385" s="10">
        <v>46102</v>
      </c>
      <c r="C385" s="4">
        <v>496</v>
      </c>
      <c r="D385" s="4">
        <v>11</v>
      </c>
      <c r="E385" s="4">
        <v>20</v>
      </c>
      <c r="F385" s="4">
        <v>0.75</v>
      </c>
      <c r="G385" s="4">
        <v>15</v>
      </c>
      <c r="H385" t="s">
        <v>970</v>
      </c>
    </row>
    <row r="386" spans="1:8" ht="15.75" customHeight="1" x14ac:dyDescent="0.3">
      <c r="A386" s="4">
        <v>385</v>
      </c>
      <c r="B386" s="10">
        <v>46048</v>
      </c>
      <c r="C386" s="4">
        <v>143</v>
      </c>
      <c r="D386" s="4">
        <v>28</v>
      </c>
      <c r="E386" s="4">
        <v>14</v>
      </c>
      <c r="F386" s="4">
        <v>0.85</v>
      </c>
      <c r="G386" s="4">
        <v>11.9</v>
      </c>
      <c r="H386" t="s">
        <v>970</v>
      </c>
    </row>
    <row r="387" spans="1:8" ht="15.75" customHeight="1" x14ac:dyDescent="0.3">
      <c r="A387" s="4">
        <v>386</v>
      </c>
      <c r="B387" s="10">
        <v>46086</v>
      </c>
      <c r="C387" s="4">
        <v>400</v>
      </c>
      <c r="D387" s="4">
        <v>44</v>
      </c>
      <c r="E387" s="4">
        <v>12</v>
      </c>
      <c r="F387" s="4">
        <v>3.2</v>
      </c>
      <c r="G387" s="4">
        <v>38.4</v>
      </c>
      <c r="H387" t="s">
        <v>971</v>
      </c>
    </row>
    <row r="388" spans="1:8" ht="15.75" customHeight="1" x14ac:dyDescent="0.3">
      <c r="A388" s="4">
        <v>387</v>
      </c>
      <c r="B388" s="10">
        <v>46070</v>
      </c>
      <c r="C388" s="4">
        <v>334</v>
      </c>
      <c r="D388" s="4">
        <v>45</v>
      </c>
      <c r="E388" s="4">
        <v>3</v>
      </c>
      <c r="F388" s="4">
        <v>0.95</v>
      </c>
      <c r="G388" s="4">
        <v>2.85</v>
      </c>
      <c r="H388" t="s">
        <v>970</v>
      </c>
    </row>
    <row r="389" spans="1:8" ht="15.75" customHeight="1" x14ac:dyDescent="0.3">
      <c r="A389" s="4">
        <v>388</v>
      </c>
      <c r="B389" s="10">
        <v>46046</v>
      </c>
      <c r="C389" s="4">
        <v>21</v>
      </c>
      <c r="D389" s="4">
        <v>42</v>
      </c>
      <c r="E389" s="4">
        <v>19</v>
      </c>
      <c r="F389" s="4">
        <v>2.6</v>
      </c>
      <c r="G389" s="4">
        <v>49.4</v>
      </c>
      <c r="H389" t="s">
        <v>970</v>
      </c>
    </row>
    <row r="390" spans="1:8" ht="15.75" customHeight="1" x14ac:dyDescent="0.3">
      <c r="A390" s="4">
        <v>389</v>
      </c>
      <c r="B390" s="10">
        <v>46077</v>
      </c>
      <c r="C390" s="4">
        <v>317</v>
      </c>
      <c r="D390" s="4">
        <v>20</v>
      </c>
      <c r="E390" s="4">
        <v>4</v>
      </c>
      <c r="F390" s="4">
        <v>0.3</v>
      </c>
      <c r="G390" s="4">
        <v>1.2</v>
      </c>
      <c r="H390" t="s">
        <v>971</v>
      </c>
    </row>
    <row r="391" spans="1:8" ht="15.75" customHeight="1" x14ac:dyDescent="0.3">
      <c r="A391" s="4">
        <v>390</v>
      </c>
      <c r="B391" s="10">
        <v>46056</v>
      </c>
      <c r="C391" s="4">
        <v>215</v>
      </c>
      <c r="D391" s="4">
        <v>8</v>
      </c>
      <c r="E391" s="4">
        <v>10</v>
      </c>
      <c r="F391" s="4">
        <v>1.5</v>
      </c>
      <c r="G391" s="4">
        <v>15</v>
      </c>
      <c r="H391" t="s">
        <v>971</v>
      </c>
    </row>
    <row r="392" spans="1:8" ht="15.75" customHeight="1" x14ac:dyDescent="0.3">
      <c r="A392" s="4">
        <v>391</v>
      </c>
      <c r="B392" s="10">
        <v>46028</v>
      </c>
      <c r="C392" s="4">
        <v>320</v>
      </c>
      <c r="D392" s="4">
        <v>6</v>
      </c>
      <c r="E392" s="4">
        <v>8</v>
      </c>
      <c r="F392" s="4">
        <v>1</v>
      </c>
      <c r="G392" s="4">
        <v>8</v>
      </c>
      <c r="H392" t="s">
        <v>971</v>
      </c>
    </row>
    <row r="393" spans="1:8" ht="15.75" customHeight="1" x14ac:dyDescent="0.3">
      <c r="A393" s="4">
        <v>392</v>
      </c>
      <c r="B393" s="10">
        <v>46092</v>
      </c>
      <c r="C393" s="4">
        <v>239</v>
      </c>
      <c r="D393" s="4">
        <v>31</v>
      </c>
      <c r="E393" s="4">
        <v>12</v>
      </c>
      <c r="F393" s="4">
        <v>0.9</v>
      </c>
      <c r="G393" s="4">
        <v>10.8</v>
      </c>
      <c r="H393" t="s">
        <v>970</v>
      </c>
    </row>
    <row r="394" spans="1:8" ht="15.75" customHeight="1" x14ac:dyDescent="0.3">
      <c r="A394" s="4">
        <v>393</v>
      </c>
      <c r="B394" s="10">
        <v>46072</v>
      </c>
      <c r="C394" s="4">
        <v>500</v>
      </c>
      <c r="D394" s="4">
        <v>20</v>
      </c>
      <c r="E394" s="4">
        <v>17</v>
      </c>
      <c r="F394" s="4">
        <v>0.3</v>
      </c>
      <c r="G394" s="4">
        <v>5.0999999999999996</v>
      </c>
      <c r="H394" t="s">
        <v>970</v>
      </c>
    </row>
    <row r="395" spans="1:8" ht="15.75" customHeight="1" x14ac:dyDescent="0.3">
      <c r="A395" s="4">
        <v>394</v>
      </c>
      <c r="B395" s="10">
        <v>46094</v>
      </c>
      <c r="C395" s="4">
        <v>431</v>
      </c>
      <c r="D395" s="4">
        <v>46</v>
      </c>
      <c r="E395" s="4">
        <v>1</v>
      </c>
      <c r="F395" s="4">
        <v>1.1000000000000001</v>
      </c>
      <c r="G395" s="4">
        <v>1.1000000000000001</v>
      </c>
      <c r="H395" t="s">
        <v>971</v>
      </c>
    </row>
    <row r="396" spans="1:8" ht="15.75" customHeight="1" x14ac:dyDescent="0.3">
      <c r="A396" s="4">
        <v>395</v>
      </c>
      <c r="B396" s="10">
        <v>46085</v>
      </c>
      <c r="C396" s="4">
        <v>318</v>
      </c>
      <c r="D396" s="4">
        <v>39</v>
      </c>
      <c r="E396" s="4">
        <v>11</v>
      </c>
      <c r="F396" s="4">
        <v>2.1</v>
      </c>
      <c r="G396" s="4">
        <v>23.1</v>
      </c>
      <c r="H396" t="s">
        <v>970</v>
      </c>
    </row>
    <row r="397" spans="1:8" ht="15.75" customHeight="1" x14ac:dyDescent="0.3">
      <c r="A397" s="4">
        <v>396</v>
      </c>
      <c r="B397" s="10">
        <v>46066</v>
      </c>
      <c r="C397" s="4">
        <v>208</v>
      </c>
      <c r="D397" s="4">
        <v>38</v>
      </c>
      <c r="E397" s="4">
        <v>4</v>
      </c>
      <c r="F397" s="4">
        <v>2.1</v>
      </c>
      <c r="G397" s="4">
        <v>8.4</v>
      </c>
      <c r="H397" t="s">
        <v>970</v>
      </c>
    </row>
    <row r="398" spans="1:8" ht="15.75" customHeight="1" x14ac:dyDescent="0.3">
      <c r="A398" s="4">
        <v>397</v>
      </c>
      <c r="B398" s="10">
        <v>46028</v>
      </c>
      <c r="C398" s="4">
        <v>273</v>
      </c>
      <c r="D398" s="4">
        <v>8</v>
      </c>
      <c r="E398" s="4">
        <v>14</v>
      </c>
      <c r="F398" s="4">
        <v>1.5</v>
      </c>
      <c r="G398" s="4">
        <v>21</v>
      </c>
      <c r="H398" t="s">
        <v>971</v>
      </c>
    </row>
    <row r="399" spans="1:8" ht="15.75" customHeight="1" x14ac:dyDescent="0.3">
      <c r="A399" s="4">
        <v>398</v>
      </c>
      <c r="B399" s="10">
        <v>46112</v>
      </c>
      <c r="C399" s="4">
        <v>343</v>
      </c>
      <c r="D399" s="4">
        <v>26</v>
      </c>
      <c r="E399" s="4">
        <v>5</v>
      </c>
      <c r="F399" s="4">
        <v>1.1000000000000001</v>
      </c>
      <c r="G399" s="4">
        <v>5.5</v>
      </c>
      <c r="H399" t="s">
        <v>970</v>
      </c>
    </row>
    <row r="400" spans="1:8" ht="15.75" customHeight="1" x14ac:dyDescent="0.3">
      <c r="A400" s="4">
        <v>399</v>
      </c>
      <c r="B400" s="10">
        <v>46088</v>
      </c>
      <c r="C400" s="4">
        <v>281</v>
      </c>
      <c r="D400" s="4">
        <v>43</v>
      </c>
      <c r="E400" s="4">
        <v>3</v>
      </c>
      <c r="F400" s="4">
        <v>4.5</v>
      </c>
      <c r="G400" s="4">
        <v>13.5</v>
      </c>
      <c r="H400" t="s">
        <v>970</v>
      </c>
    </row>
    <row r="401" spans="1:8" ht="15.75" customHeight="1" x14ac:dyDescent="0.3">
      <c r="A401" s="4">
        <v>400</v>
      </c>
      <c r="B401" s="10">
        <v>46047</v>
      </c>
      <c r="C401" s="4">
        <v>394</v>
      </c>
      <c r="D401" s="4">
        <v>34</v>
      </c>
      <c r="E401" s="4">
        <v>19</v>
      </c>
      <c r="F401" s="4">
        <v>1.25</v>
      </c>
      <c r="G401" s="4">
        <v>23.75</v>
      </c>
      <c r="H401" t="s">
        <v>971</v>
      </c>
    </row>
    <row r="402" spans="1:8" ht="15.75" customHeight="1" x14ac:dyDescent="0.3">
      <c r="A402" s="4">
        <v>401</v>
      </c>
      <c r="B402" s="10">
        <v>46100</v>
      </c>
      <c r="C402" s="4">
        <v>497</v>
      </c>
      <c r="D402" s="4">
        <v>39</v>
      </c>
      <c r="E402" s="4">
        <v>10</v>
      </c>
      <c r="F402" s="4">
        <v>2.1</v>
      </c>
      <c r="G402" s="4">
        <v>21</v>
      </c>
      <c r="H402" t="s">
        <v>970</v>
      </c>
    </row>
    <row r="403" spans="1:8" ht="15.75" customHeight="1" x14ac:dyDescent="0.3">
      <c r="A403" s="4">
        <v>402</v>
      </c>
      <c r="B403" s="10">
        <v>46105</v>
      </c>
      <c r="C403" s="4">
        <v>143</v>
      </c>
      <c r="D403" s="4">
        <v>28</v>
      </c>
      <c r="E403" s="4">
        <v>11</v>
      </c>
      <c r="F403" s="4">
        <v>0.85</v>
      </c>
      <c r="G403" s="4">
        <v>9.35</v>
      </c>
      <c r="H403" t="s">
        <v>970</v>
      </c>
    </row>
    <row r="404" spans="1:8" ht="15.75" customHeight="1" x14ac:dyDescent="0.3">
      <c r="A404" s="4">
        <v>403</v>
      </c>
      <c r="B404" s="10">
        <v>46041</v>
      </c>
      <c r="C404" s="4">
        <v>404</v>
      </c>
      <c r="D404" s="4">
        <v>9</v>
      </c>
      <c r="E404" s="4">
        <v>6</v>
      </c>
      <c r="F404" s="4">
        <v>1.7</v>
      </c>
      <c r="G404" s="4">
        <v>10.199999999999999</v>
      </c>
      <c r="H404" t="s">
        <v>971</v>
      </c>
    </row>
    <row r="405" spans="1:8" ht="15.75" customHeight="1" x14ac:dyDescent="0.3">
      <c r="A405" s="4">
        <v>404</v>
      </c>
      <c r="B405" s="10">
        <v>46025</v>
      </c>
      <c r="C405" s="4">
        <v>155</v>
      </c>
      <c r="D405" s="4">
        <v>12</v>
      </c>
      <c r="E405" s="4">
        <v>3</v>
      </c>
      <c r="F405" s="4">
        <v>1</v>
      </c>
      <c r="G405" s="4">
        <v>3</v>
      </c>
      <c r="H405" t="s">
        <v>971</v>
      </c>
    </row>
    <row r="406" spans="1:8" ht="15.75" customHeight="1" x14ac:dyDescent="0.3">
      <c r="A406" s="4">
        <v>405</v>
      </c>
      <c r="B406" s="10">
        <v>46086</v>
      </c>
      <c r="C406" s="4">
        <v>311</v>
      </c>
      <c r="D406" s="4">
        <v>4</v>
      </c>
      <c r="E406" s="4">
        <v>1</v>
      </c>
      <c r="F406" s="4">
        <v>1.5</v>
      </c>
      <c r="G406" s="4">
        <v>1.5</v>
      </c>
      <c r="H406" t="s">
        <v>971</v>
      </c>
    </row>
    <row r="407" spans="1:8" ht="15.75" customHeight="1" x14ac:dyDescent="0.3">
      <c r="A407" s="4">
        <v>406</v>
      </c>
      <c r="B407" s="10">
        <v>46098</v>
      </c>
      <c r="C407" s="4">
        <v>471</v>
      </c>
      <c r="D407" s="4">
        <v>40</v>
      </c>
      <c r="E407" s="4">
        <v>5</v>
      </c>
      <c r="F407" s="4">
        <v>1.9</v>
      </c>
      <c r="G407" s="4">
        <v>9.5</v>
      </c>
      <c r="H407" t="s">
        <v>970</v>
      </c>
    </row>
    <row r="408" spans="1:8" ht="15.75" customHeight="1" x14ac:dyDescent="0.3">
      <c r="A408" s="4">
        <v>407</v>
      </c>
      <c r="B408" s="10">
        <v>46033</v>
      </c>
      <c r="C408" s="4">
        <v>183</v>
      </c>
      <c r="D408" s="4">
        <v>19</v>
      </c>
      <c r="E408" s="4">
        <v>10</v>
      </c>
      <c r="F408" s="4">
        <v>0.35</v>
      </c>
      <c r="G408" s="4">
        <v>3.5</v>
      </c>
      <c r="H408" t="s">
        <v>970</v>
      </c>
    </row>
    <row r="409" spans="1:8" ht="15.75" customHeight="1" x14ac:dyDescent="0.3">
      <c r="A409" s="4">
        <v>408</v>
      </c>
      <c r="B409" s="10">
        <v>46059</v>
      </c>
      <c r="C409" s="4">
        <v>153</v>
      </c>
      <c r="D409" s="4">
        <v>33</v>
      </c>
      <c r="E409" s="4">
        <v>18</v>
      </c>
      <c r="F409" s="4">
        <v>1.2</v>
      </c>
      <c r="G409" s="4">
        <v>21.6</v>
      </c>
      <c r="H409" t="s">
        <v>971</v>
      </c>
    </row>
    <row r="410" spans="1:8" ht="15.75" customHeight="1" x14ac:dyDescent="0.3">
      <c r="A410" s="4">
        <v>409</v>
      </c>
      <c r="B410" s="10">
        <v>46092</v>
      </c>
      <c r="C410" s="4">
        <v>172</v>
      </c>
      <c r="D410" s="4">
        <v>13</v>
      </c>
      <c r="E410" s="4">
        <v>16</v>
      </c>
      <c r="F410" s="4">
        <v>0.9</v>
      </c>
      <c r="G410" s="4">
        <v>14.4</v>
      </c>
      <c r="H410" t="s">
        <v>970</v>
      </c>
    </row>
    <row r="411" spans="1:8" ht="15.75" customHeight="1" x14ac:dyDescent="0.3">
      <c r="A411" s="4">
        <v>410</v>
      </c>
      <c r="B411" s="10">
        <v>46108</v>
      </c>
      <c r="C411" s="4">
        <v>58</v>
      </c>
      <c r="D411" s="4">
        <v>34</v>
      </c>
      <c r="E411" s="4">
        <v>3</v>
      </c>
      <c r="F411" s="4">
        <v>1.25</v>
      </c>
      <c r="G411" s="4">
        <v>3.75</v>
      </c>
      <c r="H411" t="s">
        <v>970</v>
      </c>
    </row>
    <row r="412" spans="1:8" ht="15.75" customHeight="1" x14ac:dyDescent="0.3">
      <c r="A412" s="4">
        <v>411</v>
      </c>
      <c r="B412" s="10">
        <v>46100</v>
      </c>
      <c r="C412" s="4">
        <v>186</v>
      </c>
      <c r="D412" s="4">
        <v>28</v>
      </c>
      <c r="E412" s="4">
        <v>14</v>
      </c>
      <c r="F412" s="4">
        <v>0.85</v>
      </c>
      <c r="G412" s="4">
        <v>11.9</v>
      </c>
      <c r="H412" t="s">
        <v>971</v>
      </c>
    </row>
    <row r="413" spans="1:8" ht="15.75" customHeight="1" x14ac:dyDescent="0.3">
      <c r="A413" s="4">
        <v>412</v>
      </c>
      <c r="B413" s="10">
        <v>46057</v>
      </c>
      <c r="C413" s="4">
        <v>290</v>
      </c>
      <c r="D413" s="4">
        <v>8</v>
      </c>
      <c r="E413" s="4">
        <v>16</v>
      </c>
      <c r="F413" s="4">
        <v>1.5</v>
      </c>
      <c r="G413" s="4">
        <v>24</v>
      </c>
      <c r="H413" t="s">
        <v>970</v>
      </c>
    </row>
    <row r="414" spans="1:8" ht="15.75" customHeight="1" x14ac:dyDescent="0.3">
      <c r="A414" s="4">
        <v>413</v>
      </c>
      <c r="B414" s="10">
        <v>46060</v>
      </c>
      <c r="C414" s="4">
        <v>201</v>
      </c>
      <c r="D414" s="4">
        <v>43</v>
      </c>
      <c r="E414" s="4">
        <v>9</v>
      </c>
      <c r="F414" s="4">
        <v>4.5</v>
      </c>
      <c r="G414" s="4">
        <v>40.5</v>
      </c>
      <c r="H414" t="s">
        <v>970</v>
      </c>
    </row>
    <row r="415" spans="1:8" ht="15.75" customHeight="1" x14ac:dyDescent="0.3">
      <c r="A415" s="4">
        <v>414</v>
      </c>
      <c r="B415" s="10">
        <v>46082</v>
      </c>
      <c r="C415" s="4">
        <v>304</v>
      </c>
      <c r="D415" s="4">
        <v>34</v>
      </c>
      <c r="E415" s="4">
        <v>16</v>
      </c>
      <c r="F415" s="4">
        <v>1.25</v>
      </c>
      <c r="G415" s="4">
        <v>20</v>
      </c>
      <c r="H415" t="s">
        <v>971</v>
      </c>
    </row>
    <row r="416" spans="1:8" ht="15.75" customHeight="1" x14ac:dyDescent="0.3">
      <c r="A416" s="4">
        <v>415</v>
      </c>
      <c r="B416" s="10">
        <v>46023</v>
      </c>
      <c r="C416" s="4">
        <v>87</v>
      </c>
      <c r="D416" s="4">
        <v>35</v>
      </c>
      <c r="E416" s="4">
        <v>8</v>
      </c>
      <c r="F416" s="4">
        <v>1.3</v>
      </c>
      <c r="G416" s="4">
        <v>10.4</v>
      </c>
      <c r="H416" t="s">
        <v>970</v>
      </c>
    </row>
    <row r="417" spans="1:8" ht="15.75" customHeight="1" x14ac:dyDescent="0.3">
      <c r="A417" s="4">
        <v>416</v>
      </c>
      <c r="B417" s="10">
        <v>46036</v>
      </c>
      <c r="C417" s="4">
        <v>472</v>
      </c>
      <c r="D417" s="4">
        <v>34</v>
      </c>
      <c r="E417" s="4">
        <v>17</v>
      </c>
      <c r="F417" s="4">
        <v>1.25</v>
      </c>
      <c r="G417" s="4">
        <v>21.25</v>
      </c>
      <c r="H417" t="s">
        <v>970</v>
      </c>
    </row>
    <row r="418" spans="1:8" ht="15.75" customHeight="1" x14ac:dyDescent="0.3">
      <c r="A418" s="4">
        <v>417</v>
      </c>
      <c r="B418" s="10">
        <v>46048</v>
      </c>
      <c r="C418" s="4">
        <v>2</v>
      </c>
      <c r="D418" s="4">
        <v>10</v>
      </c>
      <c r="E418" s="4">
        <v>9</v>
      </c>
      <c r="F418" s="4">
        <v>1.75</v>
      </c>
      <c r="G418" s="4">
        <v>15.75</v>
      </c>
      <c r="H418" t="s">
        <v>971</v>
      </c>
    </row>
    <row r="419" spans="1:8" ht="15.75" customHeight="1" x14ac:dyDescent="0.3">
      <c r="A419" s="4">
        <v>418</v>
      </c>
      <c r="B419" s="10">
        <v>46047</v>
      </c>
      <c r="C419" s="4">
        <v>110</v>
      </c>
      <c r="D419" s="4">
        <v>26</v>
      </c>
      <c r="E419" s="4">
        <v>16</v>
      </c>
      <c r="F419" s="4">
        <v>1.1000000000000001</v>
      </c>
      <c r="G419" s="4">
        <v>17.600000000000001</v>
      </c>
      <c r="H419" t="s">
        <v>971</v>
      </c>
    </row>
    <row r="420" spans="1:8" ht="15.75" customHeight="1" x14ac:dyDescent="0.3">
      <c r="A420" s="4">
        <v>419</v>
      </c>
      <c r="B420" s="10">
        <v>46041</v>
      </c>
      <c r="C420" s="4">
        <v>276</v>
      </c>
      <c r="D420" s="4">
        <v>5</v>
      </c>
      <c r="E420" s="4">
        <v>1</v>
      </c>
      <c r="F420" s="4">
        <v>0.75</v>
      </c>
      <c r="G420" s="4">
        <v>0.75</v>
      </c>
      <c r="H420" t="s">
        <v>971</v>
      </c>
    </row>
    <row r="421" spans="1:8" ht="15.75" customHeight="1" x14ac:dyDescent="0.3">
      <c r="A421" s="4">
        <v>420</v>
      </c>
      <c r="B421" s="10">
        <v>46077</v>
      </c>
      <c r="C421" s="4">
        <v>269</v>
      </c>
      <c r="D421" s="4">
        <v>39</v>
      </c>
      <c r="E421" s="4">
        <v>18</v>
      </c>
      <c r="F421" s="4">
        <v>2.1</v>
      </c>
      <c r="G421" s="4">
        <v>37.799999999999997</v>
      </c>
      <c r="H421" t="s">
        <v>970</v>
      </c>
    </row>
    <row r="422" spans="1:8" ht="15.75" customHeight="1" x14ac:dyDescent="0.3">
      <c r="A422" s="4">
        <v>421</v>
      </c>
      <c r="B422" s="10">
        <v>46046</v>
      </c>
      <c r="C422" s="4">
        <v>403</v>
      </c>
      <c r="D422" s="4">
        <v>1</v>
      </c>
      <c r="E422" s="4">
        <v>5</v>
      </c>
      <c r="F422" s="4">
        <v>1.5</v>
      </c>
      <c r="G422" s="4">
        <v>7.5</v>
      </c>
      <c r="H422" t="s">
        <v>970</v>
      </c>
    </row>
    <row r="423" spans="1:8" ht="15.75" customHeight="1" x14ac:dyDescent="0.3">
      <c r="A423" s="4">
        <v>422</v>
      </c>
      <c r="B423" s="10">
        <v>46066</v>
      </c>
      <c r="C423" s="4">
        <v>177</v>
      </c>
      <c r="D423" s="4">
        <v>12</v>
      </c>
      <c r="E423" s="4">
        <v>12</v>
      </c>
      <c r="F423" s="4">
        <v>1</v>
      </c>
      <c r="G423" s="4">
        <v>12</v>
      </c>
      <c r="H423" t="s">
        <v>971</v>
      </c>
    </row>
    <row r="424" spans="1:8" ht="15.75" customHeight="1" x14ac:dyDescent="0.3">
      <c r="A424" s="4">
        <v>423</v>
      </c>
      <c r="B424" s="10">
        <v>46037</v>
      </c>
      <c r="C424" s="4">
        <v>456</v>
      </c>
      <c r="D424" s="4">
        <v>9</v>
      </c>
      <c r="E424" s="4">
        <v>11</v>
      </c>
      <c r="F424" s="4">
        <v>1.7</v>
      </c>
      <c r="G424" s="4">
        <v>18.7</v>
      </c>
      <c r="H424" t="s">
        <v>970</v>
      </c>
    </row>
    <row r="425" spans="1:8" ht="15.75" customHeight="1" x14ac:dyDescent="0.3">
      <c r="A425" s="4">
        <v>424</v>
      </c>
      <c r="B425" s="10">
        <v>46081</v>
      </c>
      <c r="C425" s="4">
        <v>210</v>
      </c>
      <c r="D425" s="4">
        <v>49</v>
      </c>
      <c r="E425" s="4">
        <v>15</v>
      </c>
      <c r="F425" s="4">
        <v>1.4</v>
      </c>
      <c r="G425" s="4">
        <v>21</v>
      </c>
      <c r="H425" t="s">
        <v>970</v>
      </c>
    </row>
    <row r="426" spans="1:8" ht="15.75" customHeight="1" x14ac:dyDescent="0.3">
      <c r="A426" s="4">
        <v>425</v>
      </c>
      <c r="B426" s="10">
        <v>46086</v>
      </c>
      <c r="C426" s="4">
        <v>281</v>
      </c>
      <c r="D426" s="4">
        <v>42</v>
      </c>
      <c r="E426" s="4">
        <v>3</v>
      </c>
      <c r="F426" s="4">
        <v>2.6</v>
      </c>
      <c r="G426" s="4">
        <v>7.8</v>
      </c>
      <c r="H426" t="s">
        <v>971</v>
      </c>
    </row>
    <row r="427" spans="1:8" ht="15.75" customHeight="1" x14ac:dyDescent="0.3">
      <c r="A427" s="4">
        <v>426</v>
      </c>
      <c r="B427" s="10">
        <v>46088</v>
      </c>
      <c r="C427" s="4">
        <v>168</v>
      </c>
      <c r="D427" s="4">
        <v>45</v>
      </c>
      <c r="E427" s="4">
        <v>13</v>
      </c>
      <c r="F427" s="4">
        <v>0.95</v>
      </c>
      <c r="G427" s="4">
        <v>12.35</v>
      </c>
      <c r="H427" t="s">
        <v>970</v>
      </c>
    </row>
    <row r="428" spans="1:8" ht="15.75" customHeight="1" x14ac:dyDescent="0.3">
      <c r="A428" s="4">
        <v>427</v>
      </c>
      <c r="B428" s="10">
        <v>46096</v>
      </c>
      <c r="C428" s="4">
        <v>199</v>
      </c>
      <c r="D428" s="4">
        <v>7</v>
      </c>
      <c r="E428" s="4">
        <v>14</v>
      </c>
      <c r="F428" s="4">
        <v>0.25</v>
      </c>
      <c r="G428" s="4">
        <v>3.5</v>
      </c>
      <c r="H428" t="s">
        <v>970</v>
      </c>
    </row>
    <row r="429" spans="1:8" ht="15.75" customHeight="1" x14ac:dyDescent="0.3">
      <c r="A429" s="4">
        <v>428</v>
      </c>
      <c r="B429" s="10">
        <v>46037</v>
      </c>
      <c r="C429" s="4">
        <v>6</v>
      </c>
      <c r="D429" s="4">
        <v>21</v>
      </c>
      <c r="E429" s="4">
        <v>1</v>
      </c>
      <c r="F429" s="4">
        <v>1.4</v>
      </c>
      <c r="G429" s="4">
        <v>1.4</v>
      </c>
      <c r="H429" t="s">
        <v>971</v>
      </c>
    </row>
    <row r="430" spans="1:8" ht="15.75" customHeight="1" x14ac:dyDescent="0.3">
      <c r="A430" s="4">
        <v>429</v>
      </c>
      <c r="B430" s="10">
        <v>46037</v>
      </c>
      <c r="C430" s="4">
        <v>181</v>
      </c>
      <c r="D430" s="4">
        <v>24</v>
      </c>
      <c r="E430" s="4">
        <v>3</v>
      </c>
      <c r="F430" s="4">
        <v>1.5</v>
      </c>
      <c r="G430" s="4">
        <v>4.5</v>
      </c>
      <c r="H430" t="s">
        <v>970</v>
      </c>
    </row>
    <row r="431" spans="1:8" ht="15.75" customHeight="1" x14ac:dyDescent="0.3">
      <c r="A431" s="4">
        <v>430</v>
      </c>
      <c r="B431" s="10">
        <v>46034</v>
      </c>
      <c r="C431" s="4">
        <v>430</v>
      </c>
      <c r="D431" s="4">
        <v>40</v>
      </c>
      <c r="E431" s="4">
        <v>13</v>
      </c>
      <c r="F431" s="4">
        <v>1.9</v>
      </c>
      <c r="G431" s="4">
        <v>24.7</v>
      </c>
      <c r="H431" t="s">
        <v>970</v>
      </c>
    </row>
    <row r="432" spans="1:8" ht="15.75" customHeight="1" x14ac:dyDescent="0.3">
      <c r="A432" s="4">
        <v>431</v>
      </c>
      <c r="B432" s="10">
        <v>46105</v>
      </c>
      <c r="C432" s="4">
        <v>264</v>
      </c>
      <c r="D432" s="4">
        <v>31</v>
      </c>
      <c r="E432" s="4">
        <v>6</v>
      </c>
      <c r="F432" s="4">
        <v>0.9</v>
      </c>
      <c r="G432" s="4">
        <v>5.4</v>
      </c>
      <c r="H432" t="s">
        <v>970</v>
      </c>
    </row>
    <row r="433" spans="1:8" ht="15.75" customHeight="1" x14ac:dyDescent="0.3">
      <c r="A433" s="4">
        <v>432</v>
      </c>
      <c r="B433" s="10">
        <v>46079</v>
      </c>
      <c r="C433" s="4">
        <v>491</v>
      </c>
      <c r="D433" s="4">
        <v>8</v>
      </c>
      <c r="E433" s="4">
        <v>7</v>
      </c>
      <c r="F433" s="4">
        <v>1.5</v>
      </c>
      <c r="G433" s="4">
        <v>10.5</v>
      </c>
      <c r="H433" t="s">
        <v>970</v>
      </c>
    </row>
    <row r="434" spans="1:8" ht="15.75" customHeight="1" x14ac:dyDescent="0.3">
      <c r="A434" s="4">
        <v>433</v>
      </c>
      <c r="B434" s="10">
        <v>46024</v>
      </c>
      <c r="C434" s="4">
        <v>123</v>
      </c>
      <c r="D434" s="4">
        <v>32</v>
      </c>
      <c r="E434" s="4">
        <v>18</v>
      </c>
      <c r="F434" s="4">
        <v>1.1000000000000001</v>
      </c>
      <c r="G434" s="4">
        <v>19.8</v>
      </c>
      <c r="H434" t="s">
        <v>970</v>
      </c>
    </row>
    <row r="435" spans="1:8" ht="15.75" customHeight="1" x14ac:dyDescent="0.3">
      <c r="A435" s="4">
        <v>434</v>
      </c>
      <c r="B435" s="10">
        <v>46066</v>
      </c>
      <c r="C435" s="4">
        <v>332</v>
      </c>
      <c r="D435" s="4">
        <v>18</v>
      </c>
      <c r="E435" s="4">
        <v>9</v>
      </c>
      <c r="F435" s="4">
        <v>0.3</v>
      </c>
      <c r="G435" s="4">
        <v>2.7</v>
      </c>
      <c r="H435" t="s">
        <v>970</v>
      </c>
    </row>
    <row r="436" spans="1:8" ht="15.75" customHeight="1" x14ac:dyDescent="0.3">
      <c r="A436" s="4">
        <v>435</v>
      </c>
      <c r="B436" s="10">
        <v>46045</v>
      </c>
      <c r="C436" s="4">
        <v>106</v>
      </c>
      <c r="D436" s="4">
        <v>49</v>
      </c>
      <c r="E436" s="4">
        <v>17</v>
      </c>
      <c r="F436" s="4">
        <v>1.4</v>
      </c>
      <c r="G436" s="4">
        <v>23.8</v>
      </c>
      <c r="H436" t="s">
        <v>970</v>
      </c>
    </row>
    <row r="437" spans="1:8" ht="15.75" customHeight="1" x14ac:dyDescent="0.3">
      <c r="A437" s="4">
        <v>436</v>
      </c>
      <c r="B437" s="10">
        <v>46065</v>
      </c>
      <c r="C437" s="4">
        <v>481</v>
      </c>
      <c r="D437" s="4">
        <v>4</v>
      </c>
      <c r="E437" s="4">
        <v>15</v>
      </c>
      <c r="F437" s="4">
        <v>1.5</v>
      </c>
      <c r="G437" s="4">
        <v>22.5</v>
      </c>
      <c r="H437" t="s">
        <v>970</v>
      </c>
    </row>
    <row r="438" spans="1:8" ht="15.75" customHeight="1" x14ac:dyDescent="0.3">
      <c r="A438" s="4">
        <v>437</v>
      </c>
      <c r="B438" s="10">
        <v>46082</v>
      </c>
      <c r="C438" s="4">
        <v>5</v>
      </c>
      <c r="D438" s="4">
        <v>49</v>
      </c>
      <c r="E438" s="4">
        <v>18</v>
      </c>
      <c r="F438" s="4">
        <v>1.4</v>
      </c>
      <c r="G438" s="4">
        <v>25.2</v>
      </c>
      <c r="H438" t="s">
        <v>970</v>
      </c>
    </row>
    <row r="439" spans="1:8" ht="15.75" customHeight="1" x14ac:dyDescent="0.3">
      <c r="A439" s="4">
        <v>438</v>
      </c>
      <c r="B439" s="10">
        <v>46102</v>
      </c>
      <c r="C439" s="4">
        <v>108</v>
      </c>
      <c r="D439" s="4">
        <v>7</v>
      </c>
      <c r="E439" s="4">
        <v>13</v>
      </c>
      <c r="F439" s="4">
        <v>0.25</v>
      </c>
      <c r="G439" s="4">
        <v>3.25</v>
      </c>
      <c r="H439" t="s">
        <v>970</v>
      </c>
    </row>
    <row r="440" spans="1:8" ht="15.75" customHeight="1" x14ac:dyDescent="0.3">
      <c r="A440" s="4">
        <v>439</v>
      </c>
      <c r="B440" s="10">
        <v>46085</v>
      </c>
      <c r="C440" s="4">
        <v>437</v>
      </c>
      <c r="D440" s="4">
        <v>44</v>
      </c>
      <c r="E440" s="4">
        <v>6</v>
      </c>
      <c r="F440" s="4">
        <v>3.2</v>
      </c>
      <c r="G440" s="4">
        <v>19.2</v>
      </c>
      <c r="H440" t="s">
        <v>970</v>
      </c>
    </row>
    <row r="441" spans="1:8" ht="15.75" customHeight="1" x14ac:dyDescent="0.3">
      <c r="A441" s="4">
        <v>440</v>
      </c>
      <c r="B441" s="10">
        <v>46041</v>
      </c>
      <c r="C441" s="4">
        <v>79</v>
      </c>
      <c r="D441" s="4">
        <v>31</v>
      </c>
      <c r="E441" s="4">
        <v>19</v>
      </c>
      <c r="F441" s="4">
        <v>0.9</v>
      </c>
      <c r="G441" s="4">
        <v>17.100000000000001</v>
      </c>
      <c r="H441" t="s">
        <v>970</v>
      </c>
    </row>
    <row r="442" spans="1:8" ht="15.75" customHeight="1" x14ac:dyDescent="0.3">
      <c r="A442" s="4">
        <v>441</v>
      </c>
      <c r="B442" s="10">
        <v>46109</v>
      </c>
      <c r="C442" s="4">
        <v>290</v>
      </c>
      <c r="D442" s="4">
        <v>40</v>
      </c>
      <c r="E442" s="4">
        <v>2</v>
      </c>
      <c r="F442" s="4">
        <v>1.9</v>
      </c>
      <c r="G442" s="4">
        <v>3.8</v>
      </c>
      <c r="H442" t="s">
        <v>970</v>
      </c>
    </row>
    <row r="443" spans="1:8" ht="15.75" customHeight="1" x14ac:dyDescent="0.3">
      <c r="A443" s="4">
        <v>442</v>
      </c>
      <c r="B443" s="10">
        <v>46060</v>
      </c>
      <c r="C443" s="4">
        <v>184</v>
      </c>
      <c r="D443" s="4">
        <v>25</v>
      </c>
      <c r="E443" s="4">
        <v>2</v>
      </c>
      <c r="F443" s="4">
        <v>1.4</v>
      </c>
      <c r="G443" s="4">
        <v>2.8</v>
      </c>
      <c r="H443" t="s">
        <v>971</v>
      </c>
    </row>
    <row r="444" spans="1:8" ht="15.75" customHeight="1" x14ac:dyDescent="0.3">
      <c r="A444" s="4">
        <v>443</v>
      </c>
      <c r="B444" s="10">
        <v>46101</v>
      </c>
      <c r="C444" s="4">
        <v>249</v>
      </c>
      <c r="D444" s="4">
        <v>3</v>
      </c>
      <c r="E444" s="4">
        <v>5</v>
      </c>
      <c r="F444" s="4">
        <v>1.5</v>
      </c>
      <c r="G444" s="4">
        <v>7.5</v>
      </c>
      <c r="H444" t="s">
        <v>970</v>
      </c>
    </row>
    <row r="445" spans="1:8" ht="15.75" customHeight="1" x14ac:dyDescent="0.3">
      <c r="A445" s="4">
        <v>444</v>
      </c>
      <c r="B445" s="10">
        <v>46033</v>
      </c>
      <c r="C445" s="4">
        <v>224</v>
      </c>
      <c r="D445" s="4">
        <v>25</v>
      </c>
      <c r="E445" s="4">
        <v>7</v>
      </c>
      <c r="F445" s="4">
        <v>1.4</v>
      </c>
      <c r="G445" s="4">
        <v>9.8000000000000007</v>
      </c>
      <c r="H445" t="s">
        <v>970</v>
      </c>
    </row>
    <row r="446" spans="1:8" ht="15.75" customHeight="1" x14ac:dyDescent="0.3">
      <c r="A446" s="4">
        <v>445</v>
      </c>
      <c r="B446" s="10">
        <v>46041</v>
      </c>
      <c r="C446" s="4">
        <v>409</v>
      </c>
      <c r="D446" s="4">
        <v>36</v>
      </c>
      <c r="E446" s="4">
        <v>10</v>
      </c>
      <c r="F446" s="4">
        <v>1.1000000000000001</v>
      </c>
      <c r="G446" s="4">
        <v>11</v>
      </c>
      <c r="H446" t="s">
        <v>971</v>
      </c>
    </row>
    <row r="447" spans="1:8" ht="15.75" customHeight="1" x14ac:dyDescent="0.3">
      <c r="A447" s="4">
        <v>446</v>
      </c>
      <c r="B447" s="10">
        <v>46058</v>
      </c>
      <c r="C447" s="4">
        <v>390</v>
      </c>
      <c r="D447" s="4">
        <v>3</v>
      </c>
      <c r="E447" s="4">
        <v>13</v>
      </c>
      <c r="F447" s="4">
        <v>1.5</v>
      </c>
      <c r="G447" s="4">
        <v>19.5</v>
      </c>
      <c r="H447" t="s">
        <v>971</v>
      </c>
    </row>
    <row r="448" spans="1:8" ht="15.75" customHeight="1" x14ac:dyDescent="0.3">
      <c r="A448" s="4">
        <v>447</v>
      </c>
      <c r="B448" s="10">
        <v>46073</v>
      </c>
      <c r="C448" s="4">
        <v>71</v>
      </c>
      <c r="D448" s="4">
        <v>25</v>
      </c>
      <c r="E448" s="4">
        <v>6</v>
      </c>
      <c r="F448" s="4">
        <v>1.4</v>
      </c>
      <c r="G448" s="4">
        <v>8.4</v>
      </c>
      <c r="H448" t="s">
        <v>971</v>
      </c>
    </row>
    <row r="449" spans="1:8" ht="15.75" customHeight="1" x14ac:dyDescent="0.3">
      <c r="A449" s="4">
        <v>448</v>
      </c>
      <c r="B449" s="10">
        <v>46061</v>
      </c>
      <c r="C449" s="4">
        <v>218</v>
      </c>
      <c r="D449" s="4">
        <v>2</v>
      </c>
      <c r="E449" s="4">
        <v>11</v>
      </c>
      <c r="F449" s="4">
        <v>1.75</v>
      </c>
      <c r="G449" s="4">
        <v>19.25</v>
      </c>
      <c r="H449" t="s">
        <v>970</v>
      </c>
    </row>
    <row r="450" spans="1:8" ht="15.75" customHeight="1" x14ac:dyDescent="0.3">
      <c r="A450" s="4">
        <v>449</v>
      </c>
      <c r="B450" s="10">
        <v>46086</v>
      </c>
      <c r="C450" s="4">
        <v>186</v>
      </c>
      <c r="D450" s="4">
        <v>6</v>
      </c>
      <c r="E450" s="4">
        <v>10</v>
      </c>
      <c r="F450" s="4">
        <v>1</v>
      </c>
      <c r="G450" s="4">
        <v>10</v>
      </c>
      <c r="H450" t="s">
        <v>970</v>
      </c>
    </row>
    <row r="451" spans="1:8" ht="15.75" customHeight="1" x14ac:dyDescent="0.3">
      <c r="A451" s="4">
        <v>450</v>
      </c>
      <c r="B451" s="10">
        <v>46047</v>
      </c>
      <c r="C451" s="4">
        <v>257</v>
      </c>
      <c r="D451" s="4">
        <v>50</v>
      </c>
      <c r="E451" s="4">
        <v>11</v>
      </c>
      <c r="F451" s="4">
        <v>1.6</v>
      </c>
      <c r="G451" s="4">
        <v>17.600000000000001</v>
      </c>
      <c r="H451" t="s">
        <v>971</v>
      </c>
    </row>
    <row r="452" spans="1:8" ht="15.75" customHeight="1" x14ac:dyDescent="0.3">
      <c r="A452" s="4">
        <v>451</v>
      </c>
      <c r="B452" s="10">
        <v>46053</v>
      </c>
      <c r="C452" s="4">
        <v>390</v>
      </c>
      <c r="D452" s="4">
        <v>21</v>
      </c>
      <c r="E452" s="4">
        <v>1</v>
      </c>
      <c r="F452" s="4">
        <v>1.4</v>
      </c>
      <c r="G452" s="4">
        <v>1.4</v>
      </c>
      <c r="H452" t="s">
        <v>970</v>
      </c>
    </row>
    <row r="453" spans="1:8" ht="15.75" customHeight="1" x14ac:dyDescent="0.3">
      <c r="A453" s="4">
        <v>452</v>
      </c>
      <c r="B453" s="10">
        <v>46034</v>
      </c>
      <c r="C453" s="4">
        <v>158</v>
      </c>
      <c r="D453" s="4">
        <v>43</v>
      </c>
      <c r="E453" s="4">
        <v>9</v>
      </c>
      <c r="F453" s="4">
        <v>4.5</v>
      </c>
      <c r="G453" s="4">
        <v>40.5</v>
      </c>
      <c r="H453" t="s">
        <v>970</v>
      </c>
    </row>
    <row r="454" spans="1:8" ht="15.75" customHeight="1" x14ac:dyDescent="0.3">
      <c r="A454" s="4">
        <v>453</v>
      </c>
      <c r="B454" s="10">
        <v>46100</v>
      </c>
      <c r="C454" s="4">
        <v>283</v>
      </c>
      <c r="D454" s="4">
        <v>22</v>
      </c>
      <c r="E454" s="4">
        <v>17</v>
      </c>
      <c r="F454" s="4">
        <v>1.2</v>
      </c>
      <c r="G454" s="4">
        <v>20.399999999999999</v>
      </c>
      <c r="H454" t="s">
        <v>971</v>
      </c>
    </row>
    <row r="455" spans="1:8" ht="15.75" customHeight="1" x14ac:dyDescent="0.3">
      <c r="A455" s="4">
        <v>454</v>
      </c>
      <c r="B455" s="10">
        <v>46112</v>
      </c>
      <c r="C455" s="4">
        <v>6</v>
      </c>
      <c r="D455" s="4">
        <v>3</v>
      </c>
      <c r="E455" s="4">
        <v>16</v>
      </c>
      <c r="F455" s="4">
        <v>1.5</v>
      </c>
      <c r="G455" s="4">
        <v>24</v>
      </c>
      <c r="H455" t="s">
        <v>970</v>
      </c>
    </row>
    <row r="456" spans="1:8" ht="15.75" customHeight="1" x14ac:dyDescent="0.3">
      <c r="A456" s="4">
        <v>455</v>
      </c>
      <c r="B456" s="10">
        <v>46083</v>
      </c>
      <c r="C456" s="4">
        <v>495</v>
      </c>
      <c r="D456" s="4">
        <v>42</v>
      </c>
      <c r="E456" s="4">
        <v>7</v>
      </c>
      <c r="F456" s="4">
        <v>2.6</v>
      </c>
      <c r="G456" s="4">
        <v>18.2</v>
      </c>
      <c r="H456" t="s">
        <v>970</v>
      </c>
    </row>
    <row r="457" spans="1:8" ht="15.75" customHeight="1" x14ac:dyDescent="0.3">
      <c r="A457" s="4">
        <v>456</v>
      </c>
      <c r="B457" s="10">
        <v>46108</v>
      </c>
      <c r="C457" s="4">
        <v>126</v>
      </c>
      <c r="D457" s="4">
        <v>49</v>
      </c>
      <c r="E457" s="4">
        <v>18</v>
      </c>
      <c r="F457" s="4">
        <v>1.4</v>
      </c>
      <c r="G457" s="4">
        <v>25.2</v>
      </c>
      <c r="H457" t="s">
        <v>970</v>
      </c>
    </row>
    <row r="458" spans="1:8" ht="15.75" customHeight="1" x14ac:dyDescent="0.3">
      <c r="A458" s="4">
        <v>457</v>
      </c>
      <c r="B458" s="10">
        <v>46068</v>
      </c>
      <c r="C458" s="4">
        <v>258</v>
      </c>
      <c r="D458" s="4">
        <v>35</v>
      </c>
      <c r="E458" s="4">
        <v>18</v>
      </c>
      <c r="F458" s="4">
        <v>1.3</v>
      </c>
      <c r="G458" s="4">
        <v>23.4</v>
      </c>
      <c r="H458" t="s">
        <v>970</v>
      </c>
    </row>
    <row r="459" spans="1:8" ht="15.75" customHeight="1" x14ac:dyDescent="0.3">
      <c r="A459" s="4">
        <v>458</v>
      </c>
      <c r="B459" s="10">
        <v>46053</v>
      </c>
      <c r="C459" s="4">
        <v>99</v>
      </c>
      <c r="D459" s="4">
        <v>50</v>
      </c>
      <c r="E459" s="4">
        <v>9</v>
      </c>
      <c r="F459" s="4">
        <v>1.6</v>
      </c>
      <c r="G459" s="4">
        <v>14.4</v>
      </c>
      <c r="H459" t="s">
        <v>970</v>
      </c>
    </row>
    <row r="460" spans="1:8" ht="15.75" customHeight="1" x14ac:dyDescent="0.3">
      <c r="A460" s="4">
        <v>459</v>
      </c>
      <c r="B460" s="10">
        <v>46075</v>
      </c>
      <c r="C460" s="4">
        <v>2</v>
      </c>
      <c r="D460" s="4">
        <v>49</v>
      </c>
      <c r="E460" s="4">
        <v>9</v>
      </c>
      <c r="F460" s="4">
        <v>1.4</v>
      </c>
      <c r="G460" s="4">
        <v>12.6</v>
      </c>
      <c r="H460" t="s">
        <v>970</v>
      </c>
    </row>
    <row r="461" spans="1:8" ht="15.75" customHeight="1" x14ac:dyDescent="0.3">
      <c r="A461" s="4">
        <v>460</v>
      </c>
      <c r="B461" s="10">
        <v>46025</v>
      </c>
      <c r="C461" s="4">
        <v>174</v>
      </c>
      <c r="D461" s="4">
        <v>10</v>
      </c>
      <c r="E461" s="4">
        <v>17</v>
      </c>
      <c r="F461" s="4">
        <v>1.75</v>
      </c>
      <c r="G461" s="4">
        <v>29.75</v>
      </c>
      <c r="H461" t="s">
        <v>970</v>
      </c>
    </row>
    <row r="462" spans="1:8" ht="15.75" customHeight="1" x14ac:dyDescent="0.3">
      <c r="A462" s="4">
        <v>461</v>
      </c>
      <c r="B462" s="10">
        <v>46068</v>
      </c>
      <c r="C462" s="4">
        <v>166</v>
      </c>
      <c r="D462" s="4">
        <v>43</v>
      </c>
      <c r="E462" s="4">
        <v>6</v>
      </c>
      <c r="F462" s="4">
        <v>4.5</v>
      </c>
      <c r="G462" s="4">
        <v>27</v>
      </c>
      <c r="H462" t="s">
        <v>970</v>
      </c>
    </row>
    <row r="463" spans="1:8" ht="15.75" customHeight="1" x14ac:dyDescent="0.3">
      <c r="A463" s="4">
        <v>462</v>
      </c>
      <c r="B463" s="10">
        <v>46109</v>
      </c>
      <c r="C463" s="4">
        <v>473</v>
      </c>
      <c r="D463" s="4">
        <v>39</v>
      </c>
      <c r="E463" s="4">
        <v>11</v>
      </c>
      <c r="F463" s="4">
        <v>2.1</v>
      </c>
      <c r="G463" s="4">
        <v>23.1</v>
      </c>
      <c r="H463" t="s">
        <v>970</v>
      </c>
    </row>
    <row r="464" spans="1:8" ht="15.75" customHeight="1" x14ac:dyDescent="0.3">
      <c r="A464" s="4">
        <v>463</v>
      </c>
      <c r="B464" s="10">
        <v>46051</v>
      </c>
      <c r="C464" s="4">
        <v>297</v>
      </c>
      <c r="D464" s="4">
        <v>48</v>
      </c>
      <c r="E464" s="4">
        <v>8</v>
      </c>
      <c r="F464" s="4">
        <v>1.1000000000000001</v>
      </c>
      <c r="G464" s="4">
        <v>8.8000000000000007</v>
      </c>
      <c r="H464" t="s">
        <v>970</v>
      </c>
    </row>
    <row r="465" spans="1:8" ht="15.75" customHeight="1" x14ac:dyDescent="0.3">
      <c r="A465" s="4">
        <v>464</v>
      </c>
      <c r="B465" s="10">
        <v>46104</v>
      </c>
      <c r="C465" s="4">
        <v>424</v>
      </c>
      <c r="D465" s="4">
        <v>28</v>
      </c>
      <c r="E465" s="4">
        <v>10</v>
      </c>
      <c r="F465" s="4">
        <v>0.85</v>
      </c>
      <c r="G465" s="4">
        <v>8.5</v>
      </c>
      <c r="H465" t="s">
        <v>970</v>
      </c>
    </row>
    <row r="466" spans="1:8" ht="15.75" customHeight="1" x14ac:dyDescent="0.3">
      <c r="A466" s="4">
        <v>465</v>
      </c>
      <c r="B466" s="10">
        <v>46077</v>
      </c>
      <c r="C466" s="4">
        <v>1</v>
      </c>
      <c r="D466" s="4">
        <v>26</v>
      </c>
      <c r="E466" s="4">
        <v>9</v>
      </c>
      <c r="F466" s="4">
        <v>1.1000000000000001</v>
      </c>
      <c r="G466" s="4">
        <v>9.9</v>
      </c>
      <c r="H466" t="s">
        <v>970</v>
      </c>
    </row>
    <row r="467" spans="1:8" ht="15.75" customHeight="1" x14ac:dyDescent="0.3">
      <c r="A467" s="4">
        <v>466</v>
      </c>
      <c r="B467" s="10">
        <v>46082</v>
      </c>
      <c r="C467" s="4">
        <v>402</v>
      </c>
      <c r="D467" s="4">
        <v>36</v>
      </c>
      <c r="E467" s="4">
        <v>6</v>
      </c>
      <c r="F467" s="4">
        <v>1.1000000000000001</v>
      </c>
      <c r="G467" s="4">
        <v>6.6</v>
      </c>
      <c r="H467" t="s">
        <v>970</v>
      </c>
    </row>
    <row r="468" spans="1:8" ht="15.75" customHeight="1" x14ac:dyDescent="0.3">
      <c r="A468" s="4">
        <v>467</v>
      </c>
      <c r="B468" s="10">
        <v>46083</v>
      </c>
      <c r="C468" s="4">
        <v>21</v>
      </c>
      <c r="D468" s="4">
        <v>5</v>
      </c>
      <c r="E468" s="4">
        <v>4</v>
      </c>
      <c r="F468" s="4">
        <v>0.75</v>
      </c>
      <c r="G468" s="4">
        <v>3</v>
      </c>
      <c r="H468" t="s">
        <v>970</v>
      </c>
    </row>
    <row r="469" spans="1:8" ht="15.75" customHeight="1" x14ac:dyDescent="0.3">
      <c r="A469" s="4">
        <v>468</v>
      </c>
      <c r="B469" s="10">
        <v>46025</v>
      </c>
      <c r="C469" s="4">
        <v>184</v>
      </c>
      <c r="D469" s="4">
        <v>28</v>
      </c>
      <c r="E469" s="4">
        <v>10</v>
      </c>
      <c r="F469" s="4">
        <v>0.85</v>
      </c>
      <c r="G469" s="4">
        <v>8.5</v>
      </c>
      <c r="H469" t="s">
        <v>970</v>
      </c>
    </row>
    <row r="470" spans="1:8" ht="15.75" customHeight="1" x14ac:dyDescent="0.3">
      <c r="A470" s="4">
        <v>469</v>
      </c>
      <c r="B470" s="10">
        <v>46090</v>
      </c>
      <c r="C470" s="4">
        <v>179</v>
      </c>
      <c r="D470" s="4">
        <v>4</v>
      </c>
      <c r="E470" s="4">
        <v>5</v>
      </c>
      <c r="F470" s="4">
        <v>1.5</v>
      </c>
      <c r="G470" s="4">
        <v>7.5</v>
      </c>
      <c r="H470" t="s">
        <v>970</v>
      </c>
    </row>
    <row r="471" spans="1:8" ht="15.75" customHeight="1" x14ac:dyDescent="0.3">
      <c r="A471" s="4">
        <v>470</v>
      </c>
      <c r="B471" s="10">
        <v>46055</v>
      </c>
      <c r="C471" s="4">
        <v>325</v>
      </c>
      <c r="D471" s="4">
        <v>42</v>
      </c>
      <c r="E471" s="4">
        <v>10</v>
      </c>
      <c r="F471" s="4">
        <v>2.6</v>
      </c>
      <c r="G471" s="4">
        <v>26</v>
      </c>
      <c r="H471" t="s">
        <v>970</v>
      </c>
    </row>
    <row r="472" spans="1:8" ht="15.75" customHeight="1" x14ac:dyDescent="0.3">
      <c r="A472" s="4">
        <v>471</v>
      </c>
      <c r="B472" s="10">
        <v>46084</v>
      </c>
      <c r="C472" s="4">
        <v>468</v>
      </c>
      <c r="D472" s="4">
        <v>50</v>
      </c>
      <c r="E472" s="4">
        <v>7</v>
      </c>
      <c r="F472" s="4">
        <v>1.6</v>
      </c>
      <c r="G472" s="4">
        <v>11.2</v>
      </c>
      <c r="H472" t="s">
        <v>970</v>
      </c>
    </row>
    <row r="473" spans="1:8" ht="15.75" customHeight="1" x14ac:dyDescent="0.3">
      <c r="A473" s="4">
        <v>472</v>
      </c>
      <c r="B473" s="10">
        <v>46106</v>
      </c>
      <c r="C473" s="4">
        <v>137</v>
      </c>
      <c r="D473" s="4">
        <v>33</v>
      </c>
      <c r="E473" s="4">
        <v>9</v>
      </c>
      <c r="F473" s="4">
        <v>1.2</v>
      </c>
      <c r="G473" s="4">
        <v>10.8</v>
      </c>
      <c r="H473" t="s">
        <v>970</v>
      </c>
    </row>
    <row r="474" spans="1:8" ht="15.75" customHeight="1" x14ac:dyDescent="0.3">
      <c r="A474" s="4">
        <v>473</v>
      </c>
      <c r="B474" s="10">
        <v>46045</v>
      </c>
      <c r="C474" s="4">
        <v>18</v>
      </c>
      <c r="D474" s="4">
        <v>39</v>
      </c>
      <c r="E474" s="4">
        <v>11</v>
      </c>
      <c r="F474" s="4">
        <v>2.1</v>
      </c>
      <c r="G474" s="4">
        <v>23.1</v>
      </c>
      <c r="H474" t="s">
        <v>970</v>
      </c>
    </row>
    <row r="475" spans="1:8" ht="15.75" customHeight="1" x14ac:dyDescent="0.3">
      <c r="A475" s="4">
        <v>474</v>
      </c>
      <c r="B475" s="10">
        <v>46049</v>
      </c>
      <c r="C475" s="4">
        <v>483</v>
      </c>
      <c r="D475" s="4">
        <v>37</v>
      </c>
      <c r="E475" s="4">
        <v>14</v>
      </c>
      <c r="F475" s="4">
        <v>1.25</v>
      </c>
      <c r="G475" s="4">
        <v>17.5</v>
      </c>
      <c r="H475" t="s">
        <v>970</v>
      </c>
    </row>
    <row r="476" spans="1:8" ht="15.75" customHeight="1" x14ac:dyDescent="0.3">
      <c r="A476" s="4">
        <v>475</v>
      </c>
      <c r="B476" s="10">
        <v>46062</v>
      </c>
      <c r="C476" s="4">
        <v>148</v>
      </c>
      <c r="D476" s="4">
        <v>22</v>
      </c>
      <c r="E476" s="4">
        <v>7</v>
      </c>
      <c r="F476" s="4">
        <v>1.2</v>
      </c>
      <c r="G476" s="4">
        <v>8.4</v>
      </c>
      <c r="H476" t="s">
        <v>970</v>
      </c>
    </row>
    <row r="477" spans="1:8" ht="15.75" customHeight="1" x14ac:dyDescent="0.3">
      <c r="A477" s="4">
        <v>476</v>
      </c>
      <c r="B477" s="10">
        <v>46078</v>
      </c>
      <c r="C477" s="4">
        <v>494</v>
      </c>
      <c r="D477" s="4">
        <v>39</v>
      </c>
      <c r="E477" s="4">
        <v>18</v>
      </c>
      <c r="F477" s="4">
        <v>2.1</v>
      </c>
      <c r="G477" s="4">
        <v>37.799999999999997</v>
      </c>
      <c r="H477" t="s">
        <v>970</v>
      </c>
    </row>
    <row r="478" spans="1:8" ht="15.75" customHeight="1" x14ac:dyDescent="0.3">
      <c r="A478" s="4">
        <v>477</v>
      </c>
      <c r="B478" s="10">
        <v>46098</v>
      </c>
      <c r="C478" s="4">
        <v>370</v>
      </c>
      <c r="D478" s="4">
        <v>6</v>
      </c>
      <c r="E478" s="4">
        <v>2</v>
      </c>
      <c r="F478" s="4">
        <v>1</v>
      </c>
      <c r="G478" s="4">
        <v>2</v>
      </c>
      <c r="H478" t="s">
        <v>970</v>
      </c>
    </row>
    <row r="479" spans="1:8" ht="15.75" customHeight="1" x14ac:dyDescent="0.3">
      <c r="A479" s="4">
        <v>478</v>
      </c>
      <c r="B479" s="10">
        <v>46051</v>
      </c>
      <c r="C479" s="4">
        <v>457</v>
      </c>
      <c r="D479" s="4">
        <v>29</v>
      </c>
      <c r="E479" s="4">
        <v>19</v>
      </c>
      <c r="F479" s="4">
        <v>1</v>
      </c>
      <c r="G479" s="4">
        <v>19</v>
      </c>
      <c r="H479" t="s">
        <v>970</v>
      </c>
    </row>
    <row r="480" spans="1:8" ht="15.75" customHeight="1" x14ac:dyDescent="0.3">
      <c r="A480" s="4">
        <v>479</v>
      </c>
      <c r="B480" s="10">
        <v>46090</v>
      </c>
      <c r="C480" s="4">
        <v>199</v>
      </c>
      <c r="D480" s="4">
        <v>3</v>
      </c>
      <c r="E480" s="4">
        <v>20</v>
      </c>
      <c r="F480" s="4">
        <v>1.5</v>
      </c>
      <c r="G480" s="4">
        <v>30</v>
      </c>
      <c r="H480" t="s">
        <v>970</v>
      </c>
    </row>
    <row r="481" spans="1:8" ht="15.75" customHeight="1" x14ac:dyDescent="0.3">
      <c r="A481" s="4">
        <v>480</v>
      </c>
      <c r="B481" s="10">
        <v>46041</v>
      </c>
      <c r="C481" s="4">
        <v>48</v>
      </c>
      <c r="D481" s="4">
        <v>49</v>
      </c>
      <c r="E481" s="4">
        <v>20</v>
      </c>
      <c r="F481" s="4">
        <v>1.4</v>
      </c>
      <c r="G481" s="4">
        <v>28</v>
      </c>
      <c r="H481" t="s">
        <v>970</v>
      </c>
    </row>
    <row r="482" spans="1:8" ht="15.75" customHeight="1" x14ac:dyDescent="0.3">
      <c r="A482" s="4">
        <v>481</v>
      </c>
      <c r="B482" s="10">
        <v>46104</v>
      </c>
      <c r="C482" s="4">
        <v>387</v>
      </c>
      <c r="D482" s="4">
        <v>14</v>
      </c>
      <c r="E482" s="4">
        <v>3</v>
      </c>
      <c r="F482" s="4">
        <v>0.85</v>
      </c>
      <c r="G482" s="4">
        <v>2.5499999999999998</v>
      </c>
      <c r="H482" t="s">
        <v>970</v>
      </c>
    </row>
    <row r="483" spans="1:8" ht="15.75" customHeight="1" x14ac:dyDescent="0.3">
      <c r="A483" s="4">
        <v>482</v>
      </c>
      <c r="B483" s="10">
        <v>46041</v>
      </c>
      <c r="C483" s="4">
        <v>344</v>
      </c>
      <c r="D483" s="4">
        <v>10</v>
      </c>
      <c r="E483" s="4">
        <v>11</v>
      </c>
      <c r="F483" s="4">
        <v>1.75</v>
      </c>
      <c r="G483" s="4">
        <v>19.25</v>
      </c>
      <c r="H483" t="s">
        <v>970</v>
      </c>
    </row>
    <row r="484" spans="1:8" ht="15.75" customHeight="1" x14ac:dyDescent="0.3">
      <c r="A484" s="4">
        <v>483</v>
      </c>
      <c r="B484" s="10">
        <v>46088</v>
      </c>
      <c r="C484" s="4">
        <v>255</v>
      </c>
      <c r="D484" s="4">
        <v>3</v>
      </c>
      <c r="E484" s="4">
        <v>6</v>
      </c>
      <c r="F484" s="4">
        <v>1.5</v>
      </c>
      <c r="G484" s="4">
        <v>9</v>
      </c>
      <c r="H484" t="s">
        <v>970</v>
      </c>
    </row>
    <row r="485" spans="1:8" ht="15.75" customHeight="1" x14ac:dyDescent="0.3">
      <c r="A485" s="4">
        <v>484</v>
      </c>
      <c r="B485" s="10">
        <v>46044</v>
      </c>
      <c r="C485" s="4">
        <v>330</v>
      </c>
      <c r="D485" s="4">
        <v>19</v>
      </c>
      <c r="E485" s="4">
        <v>2</v>
      </c>
      <c r="F485" s="4">
        <v>0.35</v>
      </c>
      <c r="G485" s="4">
        <v>0.7</v>
      </c>
      <c r="H485" t="s">
        <v>971</v>
      </c>
    </row>
    <row r="486" spans="1:8" ht="15.75" customHeight="1" x14ac:dyDescent="0.3">
      <c r="A486" s="4">
        <v>485</v>
      </c>
      <c r="B486" s="10">
        <v>46107</v>
      </c>
      <c r="C486" s="4">
        <v>296</v>
      </c>
      <c r="D486" s="4">
        <v>38</v>
      </c>
      <c r="E486" s="4">
        <v>12</v>
      </c>
      <c r="F486" s="4">
        <v>2.1</v>
      </c>
      <c r="G486" s="4">
        <v>25.2</v>
      </c>
      <c r="H486" t="s">
        <v>971</v>
      </c>
    </row>
    <row r="487" spans="1:8" ht="15.75" customHeight="1" x14ac:dyDescent="0.3">
      <c r="A487" s="4">
        <v>486</v>
      </c>
      <c r="B487" s="10">
        <v>46036</v>
      </c>
      <c r="C487" s="4">
        <v>113</v>
      </c>
      <c r="D487" s="4">
        <v>37</v>
      </c>
      <c r="E487" s="4">
        <v>9</v>
      </c>
      <c r="F487" s="4">
        <v>1.25</v>
      </c>
      <c r="G487" s="4">
        <v>11.25</v>
      </c>
      <c r="H487" t="s">
        <v>971</v>
      </c>
    </row>
    <row r="488" spans="1:8" ht="15.75" customHeight="1" x14ac:dyDescent="0.3">
      <c r="A488" s="4">
        <v>487</v>
      </c>
      <c r="B488" s="10">
        <v>46024</v>
      </c>
      <c r="C488" s="4">
        <v>56</v>
      </c>
      <c r="D488" s="4">
        <v>4</v>
      </c>
      <c r="E488" s="4">
        <v>3</v>
      </c>
      <c r="F488" s="4">
        <v>1.5</v>
      </c>
      <c r="G488" s="4">
        <v>4.5</v>
      </c>
      <c r="H488" t="s">
        <v>971</v>
      </c>
    </row>
    <row r="489" spans="1:8" ht="15.75" customHeight="1" x14ac:dyDescent="0.3">
      <c r="A489" s="4">
        <v>488</v>
      </c>
      <c r="B489" s="10">
        <v>46064</v>
      </c>
      <c r="C489" s="4">
        <v>245</v>
      </c>
      <c r="D489" s="4">
        <v>38</v>
      </c>
      <c r="E489" s="4">
        <v>14</v>
      </c>
      <c r="F489" s="4">
        <v>2.1</v>
      </c>
      <c r="G489" s="4">
        <v>29.4</v>
      </c>
      <c r="H489" t="s">
        <v>971</v>
      </c>
    </row>
    <row r="490" spans="1:8" ht="15.75" customHeight="1" x14ac:dyDescent="0.3">
      <c r="A490" s="4">
        <v>489</v>
      </c>
      <c r="B490" s="10">
        <v>46028</v>
      </c>
      <c r="C490" s="4">
        <v>77</v>
      </c>
      <c r="D490" s="4">
        <v>4</v>
      </c>
      <c r="E490" s="4">
        <v>17</v>
      </c>
      <c r="F490" s="4">
        <v>1.5</v>
      </c>
      <c r="G490" s="4">
        <v>25.5</v>
      </c>
      <c r="H490" t="s">
        <v>971</v>
      </c>
    </row>
    <row r="491" spans="1:8" ht="15.75" customHeight="1" x14ac:dyDescent="0.3">
      <c r="A491" s="4">
        <v>490</v>
      </c>
      <c r="B491" s="10">
        <v>46084</v>
      </c>
      <c r="C491" s="4">
        <v>247</v>
      </c>
      <c r="D491" s="4">
        <v>27</v>
      </c>
      <c r="E491" s="4">
        <v>3</v>
      </c>
      <c r="F491" s="4">
        <v>1.3</v>
      </c>
      <c r="G491" s="4">
        <v>3.9</v>
      </c>
      <c r="H491" t="s">
        <v>971</v>
      </c>
    </row>
    <row r="492" spans="1:8" ht="15.75" customHeight="1" x14ac:dyDescent="0.3">
      <c r="A492" s="4">
        <v>491</v>
      </c>
      <c r="B492" s="10">
        <v>46041</v>
      </c>
      <c r="C492" s="4">
        <v>19</v>
      </c>
      <c r="D492" s="4">
        <v>41</v>
      </c>
      <c r="E492" s="4">
        <v>7</v>
      </c>
      <c r="F492" s="4">
        <v>2.4</v>
      </c>
      <c r="G492" s="4">
        <v>16.8</v>
      </c>
      <c r="H492" t="s">
        <v>971</v>
      </c>
    </row>
    <row r="493" spans="1:8" ht="15.75" customHeight="1" x14ac:dyDescent="0.3">
      <c r="A493" s="4">
        <v>492</v>
      </c>
      <c r="B493" s="10">
        <v>46062</v>
      </c>
      <c r="C493" s="4">
        <v>229</v>
      </c>
      <c r="D493" s="4">
        <v>2</v>
      </c>
      <c r="E493" s="4">
        <v>17</v>
      </c>
      <c r="F493" s="4">
        <v>1.75</v>
      </c>
      <c r="G493" s="4">
        <v>29.75</v>
      </c>
      <c r="H493" t="s">
        <v>971</v>
      </c>
    </row>
    <row r="494" spans="1:8" ht="15.75" customHeight="1" x14ac:dyDescent="0.3">
      <c r="A494" s="4">
        <v>493</v>
      </c>
      <c r="B494" s="10">
        <v>46032</v>
      </c>
      <c r="C494" s="4">
        <v>279</v>
      </c>
      <c r="D494" s="4">
        <v>6</v>
      </c>
      <c r="E494" s="4">
        <v>14</v>
      </c>
      <c r="F494" s="4">
        <v>1</v>
      </c>
      <c r="G494" s="4">
        <v>14</v>
      </c>
      <c r="H494" t="s">
        <v>971</v>
      </c>
    </row>
    <row r="495" spans="1:8" ht="15.75" customHeight="1" x14ac:dyDescent="0.3">
      <c r="A495" s="4">
        <v>494</v>
      </c>
      <c r="B495" s="10">
        <v>46077</v>
      </c>
      <c r="C495" s="4">
        <v>270</v>
      </c>
      <c r="D495" s="4">
        <v>45</v>
      </c>
      <c r="E495" s="4">
        <v>14</v>
      </c>
      <c r="F495" s="4">
        <v>0.95</v>
      </c>
      <c r="G495" s="4">
        <v>13.3</v>
      </c>
      <c r="H495" t="s">
        <v>971</v>
      </c>
    </row>
    <row r="496" spans="1:8" ht="15.75" customHeight="1" x14ac:dyDescent="0.3">
      <c r="A496" s="4">
        <v>495</v>
      </c>
      <c r="B496" s="10">
        <v>46060</v>
      </c>
      <c r="C496" s="4">
        <v>415</v>
      </c>
      <c r="D496" s="4">
        <v>11</v>
      </c>
      <c r="E496" s="4">
        <v>17</v>
      </c>
      <c r="F496" s="4">
        <v>0.75</v>
      </c>
      <c r="G496" s="4">
        <v>12.75</v>
      </c>
      <c r="H496" t="s">
        <v>971</v>
      </c>
    </row>
    <row r="497" spans="1:8" ht="15.75" customHeight="1" x14ac:dyDescent="0.3">
      <c r="A497" s="4">
        <v>496</v>
      </c>
      <c r="B497" s="10">
        <v>46038</v>
      </c>
      <c r="C497" s="4">
        <v>304</v>
      </c>
      <c r="D497" s="4">
        <v>19</v>
      </c>
      <c r="E497" s="4">
        <v>11</v>
      </c>
      <c r="F497" s="4">
        <v>0.35</v>
      </c>
      <c r="G497" s="4">
        <v>3.85</v>
      </c>
      <c r="H497" t="s">
        <v>970</v>
      </c>
    </row>
    <row r="498" spans="1:8" ht="15.75" customHeight="1" x14ac:dyDescent="0.3">
      <c r="A498" s="4">
        <v>497</v>
      </c>
      <c r="B498" s="10">
        <v>46032</v>
      </c>
      <c r="C498" s="4">
        <v>416</v>
      </c>
      <c r="D498" s="4">
        <v>18</v>
      </c>
      <c r="E498" s="4">
        <v>15</v>
      </c>
      <c r="F498" s="4">
        <v>0.3</v>
      </c>
      <c r="G498" s="4">
        <v>4.5</v>
      </c>
      <c r="H498" t="s">
        <v>970</v>
      </c>
    </row>
    <row r="499" spans="1:8" ht="15.75" customHeight="1" x14ac:dyDescent="0.3">
      <c r="A499" s="4">
        <v>498</v>
      </c>
      <c r="B499" s="10">
        <v>46086</v>
      </c>
      <c r="C499" s="4">
        <v>296</v>
      </c>
      <c r="D499" s="4">
        <v>42</v>
      </c>
      <c r="E499" s="4">
        <v>17</v>
      </c>
      <c r="F499" s="4">
        <v>2.6</v>
      </c>
      <c r="G499" s="4">
        <v>44.2</v>
      </c>
      <c r="H499" t="s">
        <v>971</v>
      </c>
    </row>
    <row r="500" spans="1:8" ht="15.75" customHeight="1" x14ac:dyDescent="0.3">
      <c r="A500" s="4">
        <v>499</v>
      </c>
      <c r="B500" s="10">
        <v>46065</v>
      </c>
      <c r="C500" s="4">
        <v>104</v>
      </c>
      <c r="D500" s="4">
        <v>49</v>
      </c>
      <c r="E500" s="4">
        <v>9</v>
      </c>
      <c r="F500" s="4">
        <v>1.4</v>
      </c>
      <c r="G500" s="4">
        <v>12.6</v>
      </c>
      <c r="H500" t="s">
        <v>970</v>
      </c>
    </row>
    <row r="501" spans="1:8" ht="15.75" customHeight="1" x14ac:dyDescent="0.3">
      <c r="A501" s="4">
        <v>500</v>
      </c>
      <c r="B501" s="10">
        <v>46054</v>
      </c>
      <c r="C501" s="4">
        <v>348</v>
      </c>
      <c r="D501" s="4">
        <v>12</v>
      </c>
      <c r="E501" s="4">
        <v>5</v>
      </c>
      <c r="F501" s="4">
        <v>1</v>
      </c>
      <c r="G501" s="4">
        <v>5</v>
      </c>
      <c r="H501" t="s">
        <v>970</v>
      </c>
    </row>
    <row r="502" spans="1:8" ht="15.75" customHeight="1" x14ac:dyDescent="0.3">
      <c r="A502" s="4">
        <v>501</v>
      </c>
      <c r="B502" s="10">
        <v>46091</v>
      </c>
      <c r="C502" s="4">
        <v>94</v>
      </c>
      <c r="D502" s="4">
        <v>47</v>
      </c>
      <c r="E502" s="4">
        <v>4</v>
      </c>
      <c r="F502" s="4">
        <v>1.1499999999999999</v>
      </c>
      <c r="G502" s="4">
        <v>4.5999999999999996</v>
      </c>
      <c r="H502" t="s">
        <v>971</v>
      </c>
    </row>
    <row r="503" spans="1:8" ht="15.75" customHeight="1" x14ac:dyDescent="0.3">
      <c r="A503" s="4">
        <v>502</v>
      </c>
      <c r="B503" s="10">
        <v>46110</v>
      </c>
      <c r="C503" s="4">
        <v>270</v>
      </c>
      <c r="D503" s="4">
        <v>29</v>
      </c>
      <c r="E503" s="4">
        <v>3</v>
      </c>
      <c r="F503" s="4">
        <v>1</v>
      </c>
      <c r="G503" s="4">
        <v>3</v>
      </c>
      <c r="H503" t="s">
        <v>971</v>
      </c>
    </row>
    <row r="504" spans="1:8" ht="15.75" customHeight="1" x14ac:dyDescent="0.3">
      <c r="A504" s="4">
        <v>503</v>
      </c>
      <c r="B504" s="10">
        <v>46078</v>
      </c>
      <c r="C504" s="4">
        <v>352</v>
      </c>
      <c r="D504" s="4">
        <v>40</v>
      </c>
      <c r="E504" s="4">
        <v>20</v>
      </c>
      <c r="F504" s="4">
        <v>1.9</v>
      </c>
      <c r="G504" s="4">
        <v>38</v>
      </c>
      <c r="H504" t="s">
        <v>971</v>
      </c>
    </row>
    <row r="505" spans="1:8" ht="15.75" customHeight="1" x14ac:dyDescent="0.3">
      <c r="A505" s="4">
        <v>504</v>
      </c>
      <c r="B505" s="10">
        <v>46046</v>
      </c>
      <c r="C505" s="4">
        <v>275</v>
      </c>
      <c r="D505" s="4">
        <v>49</v>
      </c>
      <c r="E505" s="4">
        <v>2</v>
      </c>
      <c r="F505" s="4">
        <v>1.4</v>
      </c>
      <c r="G505" s="4">
        <v>2.8</v>
      </c>
      <c r="H505" t="s">
        <v>970</v>
      </c>
    </row>
    <row r="506" spans="1:8" ht="15.75" customHeight="1" x14ac:dyDescent="0.3">
      <c r="A506" s="4">
        <v>505</v>
      </c>
      <c r="B506" s="10">
        <v>46112</v>
      </c>
      <c r="C506" s="4">
        <v>490</v>
      </c>
      <c r="D506" s="4">
        <v>35</v>
      </c>
      <c r="E506" s="4">
        <v>7</v>
      </c>
      <c r="F506" s="4">
        <v>1.3</v>
      </c>
      <c r="G506" s="4">
        <v>9.1</v>
      </c>
      <c r="H506" t="s">
        <v>970</v>
      </c>
    </row>
    <row r="507" spans="1:8" ht="15.75" customHeight="1" x14ac:dyDescent="0.3">
      <c r="A507" s="4">
        <v>506</v>
      </c>
      <c r="B507" s="10">
        <v>46063</v>
      </c>
      <c r="C507" s="4">
        <v>131</v>
      </c>
      <c r="D507" s="4">
        <v>8</v>
      </c>
      <c r="E507" s="4">
        <v>7</v>
      </c>
      <c r="F507" s="4">
        <v>1.5</v>
      </c>
      <c r="G507" s="4">
        <v>10.5</v>
      </c>
      <c r="H507" t="s">
        <v>971</v>
      </c>
    </row>
    <row r="508" spans="1:8" ht="15.75" customHeight="1" x14ac:dyDescent="0.3">
      <c r="A508" s="4">
        <v>507</v>
      </c>
      <c r="B508" s="10">
        <v>46046</v>
      </c>
      <c r="C508" s="4">
        <v>317</v>
      </c>
      <c r="D508" s="4">
        <v>40</v>
      </c>
      <c r="E508" s="4">
        <v>13</v>
      </c>
      <c r="F508" s="4">
        <v>1.9</v>
      </c>
      <c r="G508" s="4">
        <v>24.7</v>
      </c>
      <c r="H508" t="s">
        <v>970</v>
      </c>
    </row>
    <row r="509" spans="1:8" ht="15.75" customHeight="1" x14ac:dyDescent="0.3">
      <c r="A509" s="4">
        <v>508</v>
      </c>
      <c r="B509" s="10">
        <v>46055</v>
      </c>
      <c r="C509" s="4">
        <v>391</v>
      </c>
      <c r="D509" s="4">
        <v>34</v>
      </c>
      <c r="E509" s="4">
        <v>15</v>
      </c>
      <c r="F509" s="4">
        <v>1.25</v>
      </c>
      <c r="G509" s="4">
        <v>18.75</v>
      </c>
      <c r="H509" t="s">
        <v>970</v>
      </c>
    </row>
    <row r="510" spans="1:8" ht="15.75" customHeight="1" x14ac:dyDescent="0.3">
      <c r="A510" s="4">
        <v>509</v>
      </c>
      <c r="B510" s="10">
        <v>46048</v>
      </c>
      <c r="C510" s="4">
        <v>231</v>
      </c>
      <c r="D510" s="4">
        <v>14</v>
      </c>
      <c r="E510" s="4">
        <v>19</v>
      </c>
      <c r="F510" s="4">
        <v>0.85</v>
      </c>
      <c r="G510" s="4">
        <v>16.149999999999999</v>
      </c>
      <c r="H510" t="s">
        <v>971</v>
      </c>
    </row>
    <row r="511" spans="1:8" ht="15.75" customHeight="1" x14ac:dyDescent="0.3">
      <c r="A511" s="4">
        <v>510</v>
      </c>
      <c r="B511" s="10">
        <v>46034</v>
      </c>
      <c r="C511" s="4">
        <v>155</v>
      </c>
      <c r="D511" s="4">
        <v>9</v>
      </c>
      <c r="E511" s="4">
        <v>5</v>
      </c>
      <c r="F511" s="4">
        <v>1.7</v>
      </c>
      <c r="G511" s="4">
        <v>8.5</v>
      </c>
      <c r="H511" t="s">
        <v>970</v>
      </c>
    </row>
    <row r="512" spans="1:8" ht="15.75" customHeight="1" x14ac:dyDescent="0.3">
      <c r="A512" s="4">
        <v>511</v>
      </c>
      <c r="B512" s="10">
        <v>46103</v>
      </c>
      <c r="C512" s="4">
        <v>43</v>
      </c>
      <c r="D512" s="4">
        <v>45</v>
      </c>
      <c r="E512" s="4">
        <v>15</v>
      </c>
      <c r="F512" s="4">
        <v>0.95</v>
      </c>
      <c r="G512" s="4">
        <v>14.25</v>
      </c>
      <c r="H512" t="s">
        <v>970</v>
      </c>
    </row>
    <row r="513" spans="1:8" ht="15.75" customHeight="1" x14ac:dyDescent="0.3">
      <c r="A513" s="4">
        <v>512</v>
      </c>
      <c r="B513" s="10">
        <v>46024</v>
      </c>
      <c r="C513" s="4">
        <v>175</v>
      </c>
      <c r="D513" s="4">
        <v>26</v>
      </c>
      <c r="E513" s="4">
        <v>3</v>
      </c>
      <c r="F513" s="4">
        <v>1.1000000000000001</v>
      </c>
      <c r="G513" s="4">
        <v>3.3</v>
      </c>
      <c r="H513" t="s">
        <v>971</v>
      </c>
    </row>
    <row r="514" spans="1:8" ht="15.75" customHeight="1" x14ac:dyDescent="0.3">
      <c r="A514" s="4">
        <v>513</v>
      </c>
      <c r="B514" s="10">
        <v>46032</v>
      </c>
      <c r="C514" s="4">
        <v>263</v>
      </c>
      <c r="D514" s="4">
        <v>41</v>
      </c>
      <c r="E514" s="4">
        <v>3</v>
      </c>
      <c r="F514" s="4">
        <v>2.4</v>
      </c>
      <c r="G514" s="4">
        <v>7.2</v>
      </c>
      <c r="H514" t="s">
        <v>970</v>
      </c>
    </row>
    <row r="515" spans="1:8" ht="15.75" customHeight="1" x14ac:dyDescent="0.3">
      <c r="A515" s="4">
        <v>514</v>
      </c>
      <c r="B515" s="10">
        <v>46074</v>
      </c>
      <c r="C515" s="4">
        <v>183</v>
      </c>
      <c r="D515" s="4">
        <v>39</v>
      </c>
      <c r="E515" s="4">
        <v>2</v>
      </c>
      <c r="F515" s="4">
        <v>2.1</v>
      </c>
      <c r="G515" s="4">
        <v>4.2</v>
      </c>
      <c r="H515" t="s">
        <v>970</v>
      </c>
    </row>
    <row r="516" spans="1:8" ht="15.75" customHeight="1" x14ac:dyDescent="0.3">
      <c r="A516" s="4">
        <v>515</v>
      </c>
      <c r="B516" s="10">
        <v>46073</v>
      </c>
      <c r="C516" s="4">
        <v>468</v>
      </c>
      <c r="D516" s="4">
        <v>22</v>
      </c>
      <c r="E516" s="4">
        <v>1</v>
      </c>
      <c r="F516" s="4">
        <v>1.2</v>
      </c>
      <c r="G516" s="4">
        <v>1.2</v>
      </c>
      <c r="H516" t="s">
        <v>971</v>
      </c>
    </row>
    <row r="517" spans="1:8" ht="15.75" customHeight="1" x14ac:dyDescent="0.3">
      <c r="A517" s="4">
        <v>516</v>
      </c>
      <c r="B517" s="10">
        <v>46051</v>
      </c>
      <c r="C517" s="4">
        <v>458</v>
      </c>
      <c r="D517" s="4">
        <v>13</v>
      </c>
      <c r="E517" s="4">
        <v>9</v>
      </c>
      <c r="F517" s="4">
        <v>0.9</v>
      </c>
      <c r="G517" s="4">
        <v>8.1</v>
      </c>
      <c r="H517" t="s">
        <v>971</v>
      </c>
    </row>
    <row r="518" spans="1:8" ht="15.75" customHeight="1" x14ac:dyDescent="0.3">
      <c r="A518" s="4">
        <v>517</v>
      </c>
      <c r="B518" s="10">
        <v>46066</v>
      </c>
      <c r="C518" s="4">
        <v>71</v>
      </c>
      <c r="D518" s="4">
        <v>38</v>
      </c>
      <c r="E518" s="4">
        <v>8</v>
      </c>
      <c r="F518" s="4">
        <v>2.1</v>
      </c>
      <c r="G518" s="4">
        <v>16.8</v>
      </c>
      <c r="H518" t="s">
        <v>971</v>
      </c>
    </row>
    <row r="519" spans="1:8" ht="15.75" customHeight="1" x14ac:dyDescent="0.3">
      <c r="A519" s="4">
        <v>518</v>
      </c>
      <c r="B519" s="10">
        <v>46090</v>
      </c>
      <c r="C519" s="4">
        <v>380</v>
      </c>
      <c r="D519" s="4">
        <v>19</v>
      </c>
      <c r="E519" s="4">
        <v>18</v>
      </c>
      <c r="F519" s="4">
        <v>0.35</v>
      </c>
      <c r="G519" s="4">
        <v>6.3</v>
      </c>
      <c r="H519" t="s">
        <v>970</v>
      </c>
    </row>
    <row r="520" spans="1:8" ht="15.75" customHeight="1" x14ac:dyDescent="0.3">
      <c r="A520" s="4">
        <v>519</v>
      </c>
      <c r="B520" s="10">
        <v>46057</v>
      </c>
      <c r="C520" s="4">
        <v>101</v>
      </c>
      <c r="D520" s="4">
        <v>45</v>
      </c>
      <c r="E520" s="4">
        <v>17</v>
      </c>
      <c r="F520" s="4">
        <v>0.95</v>
      </c>
      <c r="G520" s="4">
        <v>16.149999999999999</v>
      </c>
      <c r="H520" t="s">
        <v>970</v>
      </c>
    </row>
    <row r="521" spans="1:8" ht="15.75" customHeight="1" x14ac:dyDescent="0.3">
      <c r="A521" s="4">
        <v>520</v>
      </c>
      <c r="B521" s="10">
        <v>46040</v>
      </c>
      <c r="C521" s="4">
        <v>345</v>
      </c>
      <c r="D521" s="4">
        <v>1</v>
      </c>
      <c r="E521" s="4">
        <v>20</v>
      </c>
      <c r="F521" s="4">
        <v>1.5</v>
      </c>
      <c r="G521" s="4">
        <v>30</v>
      </c>
      <c r="H521" t="s">
        <v>971</v>
      </c>
    </row>
    <row r="522" spans="1:8" ht="15.75" customHeight="1" x14ac:dyDescent="0.3">
      <c r="A522" s="4">
        <v>521</v>
      </c>
      <c r="B522" s="10">
        <v>46076</v>
      </c>
      <c r="C522" s="4">
        <v>140</v>
      </c>
      <c r="D522" s="4">
        <v>31</v>
      </c>
      <c r="E522" s="4">
        <v>7</v>
      </c>
      <c r="F522" s="4">
        <v>0.9</v>
      </c>
      <c r="G522" s="4">
        <v>6.3</v>
      </c>
      <c r="H522" t="s">
        <v>970</v>
      </c>
    </row>
    <row r="523" spans="1:8" ht="15.75" customHeight="1" x14ac:dyDescent="0.3">
      <c r="A523" s="4">
        <v>522</v>
      </c>
      <c r="B523" s="10">
        <v>46108</v>
      </c>
      <c r="C523" s="4">
        <v>156</v>
      </c>
      <c r="D523" s="4">
        <v>32</v>
      </c>
      <c r="E523" s="4">
        <v>4</v>
      </c>
      <c r="F523" s="4">
        <v>1.1000000000000001</v>
      </c>
      <c r="G523" s="4">
        <v>4.4000000000000004</v>
      </c>
      <c r="H523" t="s">
        <v>970</v>
      </c>
    </row>
    <row r="524" spans="1:8" ht="15.75" customHeight="1" x14ac:dyDescent="0.3">
      <c r="A524" s="4">
        <v>523</v>
      </c>
      <c r="B524" s="10">
        <v>46040</v>
      </c>
      <c r="C524" s="4">
        <v>57</v>
      </c>
      <c r="D524" s="4">
        <v>17</v>
      </c>
      <c r="E524" s="4">
        <v>9</v>
      </c>
      <c r="F524" s="4">
        <v>0.25</v>
      </c>
      <c r="G524" s="4">
        <v>2.25</v>
      </c>
      <c r="H524" t="s">
        <v>971</v>
      </c>
    </row>
    <row r="525" spans="1:8" ht="15.75" customHeight="1" x14ac:dyDescent="0.3">
      <c r="A525" s="4">
        <v>524</v>
      </c>
      <c r="B525" s="10">
        <v>46079</v>
      </c>
      <c r="C525" s="4">
        <v>281</v>
      </c>
      <c r="D525" s="4">
        <v>42</v>
      </c>
      <c r="E525" s="4">
        <v>7</v>
      </c>
      <c r="F525" s="4">
        <v>2.6</v>
      </c>
      <c r="G525" s="4">
        <v>18.2</v>
      </c>
      <c r="H525" t="s">
        <v>970</v>
      </c>
    </row>
    <row r="526" spans="1:8" ht="15.75" customHeight="1" x14ac:dyDescent="0.3">
      <c r="A526" s="4">
        <v>525</v>
      </c>
      <c r="B526" s="10">
        <v>46062</v>
      </c>
      <c r="C526" s="4">
        <v>110</v>
      </c>
      <c r="D526" s="4">
        <v>18</v>
      </c>
      <c r="E526" s="4">
        <v>12</v>
      </c>
      <c r="F526" s="4">
        <v>0.3</v>
      </c>
      <c r="G526" s="4">
        <v>3.6</v>
      </c>
      <c r="H526" t="s">
        <v>970</v>
      </c>
    </row>
    <row r="527" spans="1:8" ht="15.75" customHeight="1" x14ac:dyDescent="0.3">
      <c r="A527" s="4">
        <v>526</v>
      </c>
      <c r="B527" s="10">
        <v>46040</v>
      </c>
      <c r="C527" s="4">
        <v>339</v>
      </c>
      <c r="D527" s="4">
        <v>19</v>
      </c>
      <c r="E527" s="4">
        <v>13</v>
      </c>
      <c r="F527" s="4">
        <v>0.35</v>
      </c>
      <c r="G527" s="4">
        <v>4.55</v>
      </c>
      <c r="H527" t="s">
        <v>971</v>
      </c>
    </row>
    <row r="528" spans="1:8" ht="15.75" customHeight="1" x14ac:dyDescent="0.3">
      <c r="A528" s="4">
        <v>527</v>
      </c>
      <c r="B528" s="10">
        <v>46103</v>
      </c>
      <c r="C528" s="4">
        <v>119</v>
      </c>
      <c r="D528" s="4">
        <v>19</v>
      </c>
      <c r="E528" s="4">
        <v>19</v>
      </c>
      <c r="F528" s="4">
        <v>0.35</v>
      </c>
      <c r="G528" s="4">
        <v>6.65</v>
      </c>
      <c r="H528" t="s">
        <v>970</v>
      </c>
    </row>
    <row r="529" spans="1:8" ht="15.75" customHeight="1" x14ac:dyDescent="0.3">
      <c r="A529" s="4">
        <v>528</v>
      </c>
      <c r="B529" s="10">
        <v>46064</v>
      </c>
      <c r="C529" s="4">
        <v>326</v>
      </c>
      <c r="D529" s="4">
        <v>27</v>
      </c>
      <c r="E529" s="4">
        <v>20</v>
      </c>
      <c r="F529" s="4">
        <v>1.3</v>
      </c>
      <c r="G529" s="4">
        <v>26</v>
      </c>
      <c r="H529" t="s">
        <v>970</v>
      </c>
    </row>
    <row r="530" spans="1:8" ht="15.75" customHeight="1" x14ac:dyDescent="0.3">
      <c r="A530" s="4">
        <v>529</v>
      </c>
      <c r="B530" s="10">
        <v>46052</v>
      </c>
      <c r="C530" s="4">
        <v>128</v>
      </c>
      <c r="D530" s="4">
        <v>17</v>
      </c>
      <c r="E530" s="4">
        <v>10</v>
      </c>
      <c r="F530" s="4">
        <v>0.25</v>
      </c>
      <c r="G530" s="4">
        <v>2.5</v>
      </c>
      <c r="H530" t="s">
        <v>971</v>
      </c>
    </row>
    <row r="531" spans="1:8" ht="15.75" customHeight="1" x14ac:dyDescent="0.3">
      <c r="A531" s="4">
        <v>530</v>
      </c>
      <c r="B531" s="10">
        <v>46023</v>
      </c>
      <c r="C531" s="4">
        <v>85</v>
      </c>
      <c r="D531" s="4">
        <v>22</v>
      </c>
      <c r="E531" s="4">
        <v>18</v>
      </c>
      <c r="F531" s="4">
        <v>1.2</v>
      </c>
      <c r="G531" s="4">
        <v>21.6</v>
      </c>
      <c r="H531" t="s">
        <v>971</v>
      </c>
    </row>
    <row r="532" spans="1:8" ht="15.75" customHeight="1" x14ac:dyDescent="0.3">
      <c r="A532" s="4">
        <v>531</v>
      </c>
      <c r="B532" s="10">
        <v>46036</v>
      </c>
      <c r="C532" s="4">
        <v>38</v>
      </c>
      <c r="D532" s="4">
        <v>19</v>
      </c>
      <c r="E532" s="4">
        <v>6</v>
      </c>
      <c r="F532" s="4">
        <v>0.35</v>
      </c>
      <c r="G532" s="4">
        <v>2.1</v>
      </c>
      <c r="H532" t="s">
        <v>971</v>
      </c>
    </row>
    <row r="533" spans="1:8" ht="15.75" customHeight="1" x14ac:dyDescent="0.3">
      <c r="A533" s="4">
        <v>532</v>
      </c>
      <c r="B533" s="10">
        <v>46047</v>
      </c>
      <c r="C533" s="4">
        <v>397</v>
      </c>
      <c r="D533" s="4">
        <v>15</v>
      </c>
      <c r="E533" s="4">
        <v>17</v>
      </c>
      <c r="F533" s="4">
        <v>0.95</v>
      </c>
      <c r="G533" s="4">
        <v>16.149999999999999</v>
      </c>
      <c r="H533" t="s">
        <v>970</v>
      </c>
    </row>
    <row r="534" spans="1:8" ht="15.75" customHeight="1" x14ac:dyDescent="0.3">
      <c r="A534" s="4">
        <v>533</v>
      </c>
      <c r="B534" s="10">
        <v>46061</v>
      </c>
      <c r="C534" s="4">
        <v>223</v>
      </c>
      <c r="D534" s="4">
        <v>41</v>
      </c>
      <c r="E534" s="4">
        <v>1</v>
      </c>
      <c r="F534" s="4">
        <v>2.4</v>
      </c>
      <c r="G534" s="4">
        <v>2.4</v>
      </c>
      <c r="H534" t="s">
        <v>970</v>
      </c>
    </row>
    <row r="535" spans="1:8" ht="15.75" customHeight="1" x14ac:dyDescent="0.3">
      <c r="A535" s="4">
        <v>534</v>
      </c>
      <c r="B535" s="10">
        <v>46038</v>
      </c>
      <c r="C535" s="4">
        <v>211</v>
      </c>
      <c r="D535" s="4">
        <v>27</v>
      </c>
      <c r="E535" s="4">
        <v>9</v>
      </c>
      <c r="F535" s="4">
        <v>1.3</v>
      </c>
      <c r="G535" s="4">
        <v>11.7</v>
      </c>
      <c r="H535" t="s">
        <v>971</v>
      </c>
    </row>
    <row r="536" spans="1:8" ht="15.75" customHeight="1" x14ac:dyDescent="0.3">
      <c r="A536" s="4">
        <v>535</v>
      </c>
      <c r="B536" s="10">
        <v>46069</v>
      </c>
      <c r="C536" s="4">
        <v>106</v>
      </c>
      <c r="D536" s="4">
        <v>41</v>
      </c>
      <c r="E536" s="4">
        <v>18</v>
      </c>
      <c r="F536" s="4">
        <v>2.4</v>
      </c>
      <c r="G536" s="4">
        <v>43.2</v>
      </c>
      <c r="H536" t="s">
        <v>970</v>
      </c>
    </row>
    <row r="537" spans="1:8" ht="15.75" customHeight="1" x14ac:dyDescent="0.3">
      <c r="A537" s="4">
        <v>536</v>
      </c>
      <c r="B537" s="10">
        <v>46059</v>
      </c>
      <c r="C537" s="4">
        <v>459</v>
      </c>
      <c r="D537" s="4">
        <v>25</v>
      </c>
      <c r="E537" s="4">
        <v>9</v>
      </c>
      <c r="F537" s="4">
        <v>1.4</v>
      </c>
      <c r="G537" s="4">
        <v>12.6</v>
      </c>
      <c r="H537" t="s">
        <v>970</v>
      </c>
    </row>
    <row r="538" spans="1:8" ht="15.75" customHeight="1" x14ac:dyDescent="0.3">
      <c r="A538" s="4">
        <v>537</v>
      </c>
      <c r="B538" s="10">
        <v>46049</v>
      </c>
      <c r="C538" s="4">
        <v>215</v>
      </c>
      <c r="D538" s="4">
        <v>20</v>
      </c>
      <c r="E538" s="4">
        <v>11</v>
      </c>
      <c r="F538" s="4">
        <v>0.3</v>
      </c>
      <c r="G538" s="4">
        <v>3.3</v>
      </c>
      <c r="H538" t="s">
        <v>971</v>
      </c>
    </row>
    <row r="539" spans="1:8" ht="15.75" customHeight="1" x14ac:dyDescent="0.3">
      <c r="A539" s="4">
        <v>538</v>
      </c>
      <c r="B539" s="10">
        <v>46036</v>
      </c>
      <c r="C539" s="4">
        <v>445</v>
      </c>
      <c r="D539" s="4">
        <v>25</v>
      </c>
      <c r="E539" s="4">
        <v>4</v>
      </c>
      <c r="F539" s="4">
        <v>1.4</v>
      </c>
      <c r="G539" s="4">
        <v>5.6</v>
      </c>
      <c r="H539" t="s">
        <v>970</v>
      </c>
    </row>
    <row r="540" spans="1:8" ht="15.75" customHeight="1" x14ac:dyDescent="0.3">
      <c r="A540" s="4">
        <v>539</v>
      </c>
      <c r="B540" s="10">
        <v>46030</v>
      </c>
      <c r="C540" s="4">
        <v>284</v>
      </c>
      <c r="D540" s="4">
        <v>46</v>
      </c>
      <c r="E540" s="4">
        <v>4</v>
      </c>
      <c r="F540" s="4">
        <v>1.1000000000000001</v>
      </c>
      <c r="G540" s="4">
        <v>4.4000000000000004</v>
      </c>
      <c r="H540" t="s">
        <v>970</v>
      </c>
    </row>
    <row r="541" spans="1:8" ht="15.75" customHeight="1" x14ac:dyDescent="0.3">
      <c r="A541" s="4">
        <v>540</v>
      </c>
      <c r="B541" s="10">
        <v>46091</v>
      </c>
      <c r="C541" s="4">
        <v>315</v>
      </c>
      <c r="D541" s="4">
        <v>1</v>
      </c>
      <c r="E541" s="4">
        <v>15</v>
      </c>
      <c r="F541" s="4">
        <v>1.5</v>
      </c>
      <c r="G541" s="4">
        <v>22.5</v>
      </c>
      <c r="H541" t="s">
        <v>971</v>
      </c>
    </row>
    <row r="542" spans="1:8" ht="15.75" customHeight="1" x14ac:dyDescent="0.3">
      <c r="A542" s="4">
        <v>541</v>
      </c>
      <c r="B542" s="10">
        <v>46098</v>
      </c>
      <c r="C542" s="4">
        <v>255</v>
      </c>
      <c r="D542" s="4">
        <v>20</v>
      </c>
      <c r="E542" s="4">
        <v>8</v>
      </c>
      <c r="F542" s="4">
        <v>0.3</v>
      </c>
      <c r="G542" s="4">
        <v>2.4</v>
      </c>
      <c r="H542" t="s">
        <v>970</v>
      </c>
    </row>
    <row r="543" spans="1:8" ht="15.75" customHeight="1" x14ac:dyDescent="0.3"/>
    <row r="544" spans="1:8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</sheetData>
  <autoFilter ref="A1:Z542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1" width="21.6640625" customWidth="1"/>
    <col min="2" max="2" width="19" customWidth="1"/>
    <col min="3" max="26" width="8.6640625" customWidth="1"/>
  </cols>
  <sheetData>
    <row r="1" spans="1:2" ht="14.4" x14ac:dyDescent="0.3">
      <c r="A1" s="1" t="s">
        <v>951</v>
      </c>
      <c r="B1" s="1" t="s">
        <v>952</v>
      </c>
    </row>
    <row r="2" spans="1:2" ht="14.4" x14ac:dyDescent="0.3">
      <c r="A2" s="1" t="s">
        <v>953</v>
      </c>
      <c r="B2" s="1">
        <f>SUM(Ventas!G2:G979)</f>
        <v>14090.299999999997</v>
      </c>
    </row>
    <row r="3" spans="1:2" ht="14.4" x14ac:dyDescent="0.3">
      <c r="A3" s="1" t="s">
        <v>954</v>
      </c>
      <c r="B3" s="1">
        <f>COUNTA(Ventas!A2:A979)</f>
        <v>541</v>
      </c>
    </row>
    <row r="4" spans="1:2" ht="14.4" x14ac:dyDescent="0.3">
      <c r="A4" s="1" t="s">
        <v>955</v>
      </c>
      <c r="B4" s="1">
        <f>AVERAGE(Ventas!G2:G979)</f>
        <v>26.044916820702397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1" width="52.33203125" customWidth="1"/>
    <col min="2" max="2" width="51.5546875" customWidth="1"/>
    <col min="3" max="26" width="8.6640625" customWidth="1"/>
  </cols>
  <sheetData>
    <row r="1" spans="1:2" ht="14.4" x14ac:dyDescent="0.3">
      <c r="A1" s="1" t="s">
        <v>956</v>
      </c>
      <c r="B1" s="1" t="s">
        <v>957</v>
      </c>
    </row>
    <row r="2" spans="1:2" ht="14.4" x14ac:dyDescent="0.3">
      <c r="A2" s="1" t="s">
        <v>958</v>
      </c>
      <c r="B2" s="1" t="s">
        <v>959</v>
      </c>
    </row>
    <row r="3" spans="1:2" ht="14.4" x14ac:dyDescent="0.3">
      <c r="A3" s="1" t="s">
        <v>960</v>
      </c>
      <c r="B3" s="1" t="s">
        <v>961</v>
      </c>
    </row>
    <row r="4" spans="1:2" ht="14.4" x14ac:dyDescent="0.3">
      <c r="A4" s="1" t="s">
        <v>962</v>
      </c>
      <c r="B4" s="1" t="s">
        <v>963</v>
      </c>
    </row>
    <row r="5" spans="1:2" ht="14.4" x14ac:dyDescent="0.3">
      <c r="A5" s="1" t="s">
        <v>964</v>
      </c>
      <c r="B5" s="1" t="s">
        <v>965</v>
      </c>
    </row>
    <row r="6" spans="1:2" ht="14.4" x14ac:dyDescent="0.3">
      <c r="A6" s="1" t="s">
        <v>966</v>
      </c>
      <c r="B6" s="1" t="s">
        <v>967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Productos</vt:lpstr>
      <vt:lpstr>Ventas</vt:lpstr>
      <vt:lpstr>Reportes</vt:lpstr>
      <vt:lpstr>Consultas_Bot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Galeas</cp:lastModifiedBy>
  <dcterms:modified xsi:type="dcterms:W3CDTF">2026-04-15T03:43:41Z</dcterms:modified>
</cp:coreProperties>
</file>